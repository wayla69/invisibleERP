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'RCM'!$A$1:$Q$314</definedName>
    <definedName name="_xlnm._FilterDatabase" localSheetId="2" hidden="1">'Gap Remediation'!$A$2:$H$5</definedName>
    <definedName name="_xlnm._FilterDatabase" localSheetId="5" hidden="1">'RCM1'!$A$1:$Q$314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row r="314">
      <c r="A314" s="11" t="inlineStr">
        <is>
          <t>SCM-05</t>
        </is>
      </c>
      <c r="B314" s="12" t="inlineStr">
        <is>
          <t>Inventory &amp; COGS</t>
        </is>
      </c>
      <c r="C314" s="13" t="inlineStr">
        <is>
          <t>Application</t>
        </is>
      </c>
      <c r="D314" s="12" t="inlineStr">
        <is>
          <t>Supply chain planning; Multi-echelon replenishment; Purchasing commitment</t>
        </is>
      </c>
      <c r="E314" s="12"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4" s="12" t="inlineStr">
        <is>
          <t>Authorization/Segregation of Duties</t>
        </is>
      </c>
      <c r="G314" s="12"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4" s="13" t="inlineStr">
        <is>
          <t>Prev</t>
        </is>
      </c>
      <c r="I314" s="13" t="inlineStr">
        <is>
          <t>Automated</t>
        </is>
      </c>
      <c r="J314" s="13" t="inlineStr">
        <is>
          <t>Per network plan</t>
        </is>
      </c>
      <c r="K314" s="12" t="inlineStr">
        <is>
          <t>Planner / Controller</t>
        </is>
      </c>
      <c r="L314" s="13" t="inlineStr">
        <is>
          <t>P11</t>
        </is>
      </c>
      <c r="M314" s="12"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14" s="12"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4" s="12"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4" s="12" t="inlineStr">
        <is>
          <t>Two-echelon network plans built + approved by different people before any PR roll-up</t>
        </is>
      </c>
      <c r="Q314" s="18" t="inlineStr">
        <is>
          <t>Implemented</t>
        </is>
      </c>
    </row>
  </sheetData>
  <autoFilter ref="A1:Q3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COUNTIF(RCM!$Q$2:$Q$314,B5)</f>
        <v/>
      </c>
    </row>
    <row r="6">
      <c r="B6" s="28" t="inlineStr">
        <is>
          <t>Partial</t>
        </is>
      </c>
      <c r="C6" s="27">
        <f>COUNTIF(RCM!$Q$2:$Q$314,B6)</f>
        <v/>
      </c>
    </row>
    <row r="7">
      <c r="B7" s="29" t="inlineStr">
        <is>
          <t>Gap</t>
        </is>
      </c>
      <c r="C7" s="27">
        <f>COUNTIF(RCM!$Q$2:$Q$314,B7)</f>
        <v/>
      </c>
    </row>
    <row r="8">
      <c r="B8" s="30" t="inlineStr">
        <is>
          <t>Total</t>
        </is>
      </c>
      <c r="C8" s="30">
        <f>COUNTA(RCM!$A$2:$A$314)</f>
        <v/>
      </c>
    </row>
    <row r="10">
      <c r="B10" s="25" t="inlineStr">
        <is>
          <t>By Category</t>
        </is>
      </c>
    </row>
    <row r="11">
      <c r="B11" s="27" t="inlineStr">
        <is>
          <t>Entity</t>
        </is>
      </c>
      <c r="C11" s="27">
        <f>COUNTIF(RCM!$C$2:$C$314,B11)</f>
        <v/>
      </c>
    </row>
    <row r="12">
      <c r="B12" s="27" t="inlineStr">
        <is>
          <t>ITGC</t>
        </is>
      </c>
      <c r="C12" s="27">
        <f>COUNTIF(RCM!$C$2:$C$314,B12)</f>
        <v/>
      </c>
    </row>
    <row r="13">
      <c r="B13" s="27" t="inlineStr">
        <is>
          <t>Application</t>
        </is>
      </c>
      <c r="C13" s="27">
        <f>COUNTIF(RCM!$C$2:$C$314,B13)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row r="314">
      <c r="A314" s="11" t="inlineStr">
        <is>
          <t>SCM-05</t>
        </is>
      </c>
      <c r="B314" s="12" t="inlineStr">
        <is>
          <t>Inventory &amp; COGS</t>
        </is>
      </c>
      <c r="C314" s="13" t="inlineStr">
        <is>
          <t>Application</t>
        </is>
      </c>
      <c r="D314" s="12" t="inlineStr">
        <is>
          <t>Supply chain planning; Multi-echelon replenishment; Purchasing commitment</t>
        </is>
      </c>
      <c r="E314" s="12"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4" s="12" t="inlineStr">
        <is>
          <t>Authorization/Segregation of Duties</t>
        </is>
      </c>
      <c r="G314" s="12"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4" s="13" t="inlineStr">
        <is>
          <t>Prev</t>
        </is>
      </c>
      <c r="I314" s="13" t="inlineStr">
        <is>
          <t>Automated</t>
        </is>
      </c>
      <c r="J314" s="13" t="inlineStr">
        <is>
          <t>Per network plan</t>
        </is>
      </c>
      <c r="K314" s="12" t="inlineStr">
        <is>
          <t>Planner / Controller</t>
        </is>
      </c>
      <c r="L314" s="13" t="inlineStr">
        <is>
          <t>P11</t>
        </is>
      </c>
      <c r="M314" s="12"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14" s="12"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4" s="12"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4" s="12" t="inlineStr">
        <is>
          <t>Two-echelon network plans built + approved by different people before any PR roll-up</t>
        </is>
      </c>
      <c r="Q314" s="18" t="inlineStr">
        <is>
          <t>Implemented</t>
        </is>
      </c>
    </row>
  </sheetData>
  <autoFilter ref="A1:Q3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COUNTIF(RCM!$Q$2:$Q$314,B5)</f>
        <v/>
      </c>
    </row>
    <row r="6">
      <c r="B6" s="28" t="inlineStr">
        <is>
          <t>Partial</t>
        </is>
      </c>
      <c r="C6" s="27">
        <f>COUNTIF(RCM!$Q$2:$Q$314,B6)</f>
        <v/>
      </c>
    </row>
    <row r="7">
      <c r="B7" s="29" t="inlineStr">
        <is>
          <t>Gap</t>
        </is>
      </c>
      <c r="C7" s="27">
        <f>COUNTIF(RCM!$Q$2:$Q$314,B7)</f>
        <v/>
      </c>
    </row>
    <row r="8">
      <c r="B8" s="30" t="inlineStr">
        <is>
          <t>Total</t>
        </is>
      </c>
      <c r="C8" s="30">
        <f>COUNTA(RCM!$A$2:$A$314)</f>
        <v/>
      </c>
    </row>
    <row r="10">
      <c r="B10" s="25" t="inlineStr">
        <is>
          <t>By Category</t>
        </is>
      </c>
    </row>
    <row r="11">
      <c r="B11" s="27" t="inlineStr">
        <is>
          <t>Entity</t>
        </is>
      </c>
      <c r="C11" s="27">
        <f>COUNTIF(RCM!$C$2:$C$314,B11)</f>
        <v/>
      </c>
    </row>
    <row r="12">
      <c r="B12" s="27" t="inlineStr">
        <is>
          <t>ITGC</t>
        </is>
      </c>
      <c r="C12" s="27">
        <f>COUNTIF(RCM!$C$2:$C$314,B12)</f>
        <v/>
      </c>
    </row>
    <row r="13">
      <c r="B13" s="27" t="inlineStr">
        <is>
          <t>Application</t>
        </is>
      </c>
      <c r="C13" s="27">
        <f>COUNTIF(RCM!$C$2:$C$314,B13)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2026-07-23T03:34:57Z</dcterms:created>
  <dcterms:modified xsi:type="dcterms:W3CDTF">2026-07-23T03:34:58Z</dcterms:modified>
</cp:coreProperties>
</file>