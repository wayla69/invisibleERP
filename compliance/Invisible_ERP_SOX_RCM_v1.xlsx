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'RCM'!$A$1:$Q$309</definedName>
    <definedName name="_xlnm._FilterDatabase" localSheetId="2" hidden="1">'Gap Remediation'!$A$2:$H$5</definedName>
    <definedName name="_xlnm._FilterDatabase" localSheetId="5" hidden="1">'RCM1'!$A$1:$Q$309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row r="309">
      <c r="A309" s="15" t="inlineStr">
        <is>
          <t>SCM-05</t>
        </is>
      </c>
      <c r="B309" s="16" t="inlineStr">
        <is>
          <t>Inventory &amp; COGS</t>
        </is>
      </c>
      <c r="C309" s="17" t="inlineStr">
        <is>
          <t>Application</t>
        </is>
      </c>
      <c r="D309" s="16" t="inlineStr">
        <is>
          <t>Supply chain planning; Multi-echelon replenishment; Purchasing commitment</t>
        </is>
      </c>
      <c r="E309" s="16"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09" s="16" t="inlineStr">
        <is>
          <t>Authorization/Segregation of Duties</t>
        </is>
      </c>
      <c r="G309" s="16"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09" s="17" t="inlineStr">
        <is>
          <t>Prev</t>
        </is>
      </c>
      <c r="I309" s="17" t="inlineStr">
        <is>
          <t>Automated</t>
        </is>
      </c>
      <c r="J309" s="17" t="inlineStr">
        <is>
          <t>Per network plan</t>
        </is>
      </c>
      <c r="K309" s="16" t="inlineStr">
        <is>
          <t>Planner / Controller</t>
        </is>
      </c>
      <c r="L309" s="17" t="inlineStr">
        <is>
          <t>P11</t>
        </is>
      </c>
      <c r="M309" s="16"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0471); scm-planning/scm-engine-client.service.ts optimizeNetwork; services/forecast-engine/app/network.py (GSM base-stock + risk pooling); cutover/scm.ts (ToE)</t>
        </is>
      </c>
      <c r="N309" s="16"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09" s="16"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09" s="16" t="inlineStr">
        <is>
          <t>Two-echelon network plans built + approved by different people before any PR roll-up</t>
        </is>
      </c>
      <c r="Q309" s="18" t="inlineStr">
        <is>
          <t>Implemented</t>
        </is>
      </c>
    </row>
  </sheetData>
  <autoFilter ref="A1:Q3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COUNTIF(RCM!$Q$2:$Q$309,B5)</f>
        <v/>
      </c>
    </row>
    <row r="6">
      <c r="B6" s="28" t="inlineStr">
        <is>
          <t>Partial</t>
        </is>
      </c>
      <c r="C6" s="27">
        <f>COUNTIF(RCM!$Q$2:$Q$309,B6)</f>
        <v/>
      </c>
    </row>
    <row r="7">
      <c r="B7" s="29" t="inlineStr">
        <is>
          <t>Gap</t>
        </is>
      </c>
      <c r="C7" s="27">
        <f>COUNTIF(RCM!$Q$2:$Q$309,B7)</f>
        <v/>
      </c>
    </row>
    <row r="8">
      <c r="B8" s="30" t="inlineStr">
        <is>
          <t>Total</t>
        </is>
      </c>
      <c r="C8" s="30">
        <f>COUNTA(RCM!$A$2:$A$309)</f>
        <v/>
      </c>
    </row>
    <row r="10">
      <c r="B10" s="25" t="inlineStr">
        <is>
          <t>By Category</t>
        </is>
      </c>
    </row>
    <row r="11">
      <c r="B11" s="27" t="inlineStr">
        <is>
          <t>Entity</t>
        </is>
      </c>
      <c r="C11" s="27">
        <f>COUNTIF(RCM!$C$2:$C$309,B11)</f>
        <v/>
      </c>
    </row>
    <row r="12">
      <c r="B12" s="27" t="inlineStr">
        <is>
          <t>ITGC</t>
        </is>
      </c>
      <c r="C12" s="27">
        <f>COUNTIF(RCM!$C$2:$C$309,B12)</f>
        <v/>
      </c>
    </row>
    <row r="13">
      <c r="B13" s="27" t="inlineStr">
        <is>
          <t>Application</t>
        </is>
      </c>
      <c r="C13" s="27">
        <f>COUNTIF(RCM!$C$2:$C$309,B13)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row r="309">
      <c r="A309" s="15" t="inlineStr">
        <is>
          <t>SCM-05</t>
        </is>
      </c>
      <c r="B309" s="16" t="inlineStr">
        <is>
          <t>Inventory &amp; COGS</t>
        </is>
      </c>
      <c r="C309" s="17" t="inlineStr">
        <is>
          <t>Application</t>
        </is>
      </c>
      <c r="D309" s="16" t="inlineStr">
        <is>
          <t>Supply chain planning; Multi-echelon replenishment; Purchasing commitment</t>
        </is>
      </c>
      <c r="E309" s="16" t="inlineStr">
        <is>
          <t>A two-echelon (supplier -&gt; DC/central-kitchen -&gt; branch) network replenishment plan is built AND approved by the same person, so a planner can inflate DC/branch base-stock toward a favoured vendor or over-buy perishable stock at the central kitchen, and - because an Approved plan rolls its DC supplier-facing order DIRECTLY up to a purchase requisition - there is an unchecked path from 'the network needs this' to committed spend. A compromised or buggy optimization engine could also plant absurd order quantities into a Draft plan.</t>
        </is>
      </c>
      <c r="F309" s="16" t="inlineStr">
        <is>
          <t>Authorization/Segregation of Duties</t>
        </is>
      </c>
      <c r="G309" s="16" t="inlineStr">
        <is>
          <t>A multi-echelon network plan is built AND approved by DIFFERENT people before any requirement rolls up to a purchase requisition. A network run persists plans as Draft (never actionable); the planner submits -&gt; PendingApproval; approval requires the scm_approve sub-permission (SoD R24 flags scm_plan + scm_approve) AND approver != submitter (assertMakerChecker -&gt; 403 SOD_SELF_APPROVAL under the enterprise profile). Only an Approved plan may roll up, and the roll-up of the DC's supplier-facing order goes through the EXISTING ProcurementService.createPr seam, idempotent by pr_no (Track B writes no PR/PO rows and posts no GL of its own). Every engine base-stock/order quantity is zod-validated and CLAMPED to a bounded multiple of the node's need before persistence, so a buggy/compromised engine cannot plant absurd orders into a Draft plan. The maker is bound to the SUBMITTER, not created_by, so a scheduler-created run cannot be self-approved.</t>
        </is>
      </c>
      <c r="H309" s="17" t="inlineStr">
        <is>
          <t>Prev</t>
        </is>
      </c>
      <c r="I309" s="17" t="inlineStr">
        <is>
          <t>Automated</t>
        </is>
      </c>
      <c r="J309" s="17" t="inlineStr">
        <is>
          <t>Per network plan</t>
        </is>
      </c>
      <c r="K309" s="16" t="inlineStr">
        <is>
          <t>Planner / Controller</t>
        </is>
      </c>
      <c r="L309" s="17" t="inlineStr">
        <is>
          <t>P11</t>
        </is>
      </c>
      <c r="M309" s="16" t="inlineStr">
        <is>
          <t>scm-network/scm-network-run.service.ts (engine /v1/optimize-network or in-process fallback -&gt; clamp qty -&gt; persist Draft plan + per-node lines); scm-network/scm-network-plan.service.ts (submit/approve maker-checker via assertMakerChecker event 'scm.network-plan.approve' -&gt; 403 SOD_SELF_APPROVAL; convert via ProcurementService.createPr idempotent by pr_no); scm-network/scm-network.controller.ts (@Permissions scm_plan build, scm_approve approve, SoD R24); scm-network/scm-network-extract.service.ts (loose-coupling demand extraction via scm-planning public API); schema/scm-network.ts scm_network_plans/scm_network_plan_lines (migration 0471); scm-planning/scm-engine-client.service.ts optimizeNetwork; services/forecast-engine/app/network.py (GSM base-stock + risk pooling); cutover/scm.ts (ToE)</t>
        </is>
      </c>
      <c r="N309" s="16" t="inlineStr">
        <is>
          <t>Inspect that a network run persists a Draft plan across the stocking echelons, that approve is gated by scm_approve and rejects the submitter (SOD_SELF_APPROVAL), that only an Approved plan converts, that the roll-up goes through ProcurementService.createPr rather than a direct PR write, and that engine quantities are clamped before persistence.</t>
        </is>
      </c>
      <c r="O309" s="16" t="inlineStr">
        <is>
          <t>Re-perform: run a two-echelon plan -&gt; Draft echelon plans (DC + branch base-stock) persist; submit then approve as the submitter -&gt; 403 SOD_SELF_APPROVAL; approve as a second scm_approve holder -&gt; Approved; convert -&gt; a real purchase_requests row (pr_no), re-convert -&gt; the same pr_no (idempotent); a foreign tenant cannot read or approve the plan (404) - re-performed by the scm harness.</t>
        </is>
      </c>
      <c r="P309" s="16" t="inlineStr">
        <is>
          <t>Two-echelon network plans built + approved by different people before any PR roll-up</t>
        </is>
      </c>
      <c r="Q309" s="18" t="inlineStr">
        <is>
          <t>Implemented</t>
        </is>
      </c>
    </row>
  </sheetData>
  <autoFilter ref="A1:Q30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COUNTIF(RCM!$Q$2:$Q$309,B5)</f>
        <v/>
      </c>
    </row>
    <row r="6">
      <c r="B6" s="28" t="inlineStr">
        <is>
          <t>Partial</t>
        </is>
      </c>
      <c r="C6" s="27">
        <f>COUNTIF(RCM!$Q$2:$Q$309,B6)</f>
        <v/>
      </c>
    </row>
    <row r="7">
      <c r="B7" s="29" t="inlineStr">
        <is>
          <t>Gap</t>
        </is>
      </c>
      <c r="C7" s="27">
        <f>COUNTIF(RCM!$Q$2:$Q$309,B7)</f>
        <v/>
      </c>
    </row>
    <row r="8">
      <c r="B8" s="30" t="inlineStr">
        <is>
          <t>Total</t>
        </is>
      </c>
      <c r="C8" s="30">
        <f>COUNTA(RCM!$A$2:$A$309)</f>
        <v/>
      </c>
    </row>
    <row r="10">
      <c r="B10" s="25" t="inlineStr">
        <is>
          <t>By Category</t>
        </is>
      </c>
    </row>
    <row r="11">
      <c r="B11" s="27" t="inlineStr">
        <is>
          <t>Entity</t>
        </is>
      </c>
      <c r="C11" s="27">
        <f>COUNTIF(RCM!$C$2:$C$309,B11)</f>
        <v/>
      </c>
    </row>
    <row r="12">
      <c r="B12" s="27" t="inlineStr">
        <is>
          <t>ITGC</t>
        </is>
      </c>
      <c r="C12" s="27">
        <f>COUNTIF(RCM!$C$2:$C$309,B12)</f>
        <v/>
      </c>
    </row>
    <row r="13">
      <c r="B13" s="27" t="inlineStr">
        <is>
          <t>Application</t>
        </is>
      </c>
      <c r="C13" s="27">
        <f>COUNTIF(RCM!$C$2:$C$309,B13)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2026-07-23T02:25:17Z</dcterms:created>
  <dcterms:modified xsi:type="dcterms:W3CDTF">2026-07-23T02:25:18Z</dcterms:modified>
</cp:coreProperties>
</file>