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'RCM'!$A$1:$Q$303</definedName>
    <definedName name="_xlnm._FilterDatabase" localSheetId="2" hidden="1">'Gap Remediation'!$A$2:$H$5</definedName>
    <definedName name="_xlnm._FilterDatabase" localSheetId="5" hidden="1">'RCM1'!$A$1:$Q$303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row r="301">
      <c r="A301" s="15" t="inlineStr">
        <is>
          <t>SCM-01</t>
        </is>
      </c>
      <c r="B301" s="16" t="inlineStr">
        <is>
          <t>Inventory &amp; COGS</t>
        </is>
      </c>
      <c r="C301" s="17" t="inlineStr">
        <is>
          <t>Application</t>
        </is>
      </c>
      <c r="D301" s="16" t="inlineStr">
        <is>
          <t>Supply chain planning; Purchasing commitment</t>
        </is>
      </c>
      <c r="E301"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1" s="16" t="inlineStr">
        <is>
          <t>Authorization/Segregation of Duties</t>
        </is>
      </c>
      <c r="G301"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1" s="17" t="inlineStr">
        <is>
          <t>Prev</t>
        </is>
      </c>
      <c r="I301" s="17" t="inlineStr">
        <is>
          <t>Automated</t>
        </is>
      </c>
      <c r="J301" s="17" t="inlineStr">
        <is>
          <t>Per plan</t>
        </is>
      </c>
      <c r="K301" s="16" t="inlineStr">
        <is>
          <t>Planner / Supply-chain approver</t>
        </is>
      </c>
      <c r="L301" s="17" t="inlineStr">
        <is>
          <t>P4/P10</t>
        </is>
      </c>
      <c r="M301"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1" s="16" t="inlineStr">
        <is>
          <t>Inspect the Draft to PendingApproval to Approved to Converted lifecycle, the scm_approve permission split, the self-approval rejection, and that conversion calls the procurement PR API rather than inserting a PO directly.</t>
        </is>
      </c>
      <c r="O301"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1" s="16" t="inlineStr">
        <is>
          <t>Order plans with maker/checker identities + the GOV-01 queue entry + the linked PR number</t>
        </is>
      </c>
      <c r="Q301" s="18" t="inlineStr">
        <is>
          <t>Implemented</t>
        </is>
      </c>
    </row>
    <row r="302">
      <c r="A302" s="11" t="inlineStr">
        <is>
          <t>SCM-02</t>
        </is>
      </c>
      <c r="B302" s="12" t="inlineStr">
        <is>
          <t>Inventory &amp; COGS</t>
        </is>
      </c>
      <c r="C302" s="13" t="inlineStr">
        <is>
          <t>ITGC</t>
        </is>
      </c>
      <c r="D302" s="12" t="inlineStr">
        <is>
          <t>Supply chain planning (scheduled jobs); Demand signal</t>
        </is>
      </c>
      <c r="E302"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2" s="12" t="inlineStr">
        <is>
          <t>Completeness/Accuracy/Monitoring</t>
        </is>
      </c>
      <c r="G302"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2" s="13" t="inlineStr">
        <is>
          <t>Det/Prev</t>
        </is>
      </c>
      <c r="I302" s="13" t="inlineStr">
        <is>
          <t>Automated</t>
        </is>
      </c>
      <c r="J302" s="13" t="inlineStr">
        <is>
          <t>Per scheduled run</t>
        </is>
      </c>
      <c r="K302" s="12" t="inlineStr">
        <is>
          <t>Planner / IT Ops</t>
        </is>
      </c>
      <c r="L302" s="13" t="inlineStr">
        <is>
          <t>P10</t>
        </is>
      </c>
      <c r="M302"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2" s="12" t="inlineStr">
        <is>
          <t>Inspect the partial unique index on nightly runs, the spike watermark + per-day unique index, and that both job types are registered on the shared queue whose failures raise ops alerts.</t>
        </is>
      </c>
      <c r="O302"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2" s="12" t="inlineStr">
        <is>
          <t>Plan-run register (status, engine, error) + spike-event register + background-job rows with attempt counts</t>
        </is>
      </c>
      <c r="Q302" s="18" t="inlineStr">
        <is>
          <t>Implemented</t>
        </is>
      </c>
    </row>
    <row r="303">
      <c r="A303" s="15" t="inlineStr">
        <is>
          <t>SCM-03</t>
        </is>
      </c>
      <c r="B303" s="16" t="inlineStr">
        <is>
          <t>Inventory &amp; COGS</t>
        </is>
      </c>
      <c r="C303" s="17" t="inlineStr">
        <is>
          <t>Application</t>
        </is>
      </c>
      <c r="D303" s="16" t="inlineStr">
        <is>
          <t>Supply chain planning; Food cost (waste vs stockout)</t>
        </is>
      </c>
      <c r="E303"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3" s="16" t="inlineStr">
        <is>
          <t>Accuracy/Completeness</t>
        </is>
      </c>
      <c r="G303"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3" s="17" t="inlineStr">
        <is>
          <t>Prev/Det</t>
        </is>
      </c>
      <c r="I303" s="17" t="inlineStr">
        <is>
          <t>Automated</t>
        </is>
      </c>
      <c r="J303" s="17" t="inlineStr">
        <is>
          <t>Per planning run</t>
        </is>
      </c>
      <c r="K303" s="16" t="inlineStr">
        <is>
          <t>Planner / Controller</t>
        </is>
      </c>
      <c r="L303" s="17" t="inlineStr">
        <is>
          <t>P10</t>
        </is>
      </c>
      <c r="M303"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3" s="16" t="inlineStr">
        <is>
          <t>Inspect the channel partition in the demand extractor, the per-scenario BoM explosion, and the rationale recorded on each plan line (expected waste/fill, clamps).</t>
        </is>
      </c>
      <c r="O303"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3" s="16" t="inlineStr">
        <is>
          <t>Demand forecasts per run with accuracy + order-plan lines carrying their full rationale</t>
        </is>
      </c>
      <c r="Q303" s="18" t="inlineStr">
        <is>
          <t>Implemented</t>
        </is>
      </c>
    </row>
  </sheetData>
  <autoFilter ref="A1:Q30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COUNTIF(RCM!$Q$2:$Q$303,B5)</f>
        <v/>
      </c>
    </row>
    <row r="6">
      <c r="B6" s="28" t="inlineStr">
        <is>
          <t>Partial</t>
        </is>
      </c>
      <c r="C6" s="27">
        <f>COUNTIF(RCM!$Q$2:$Q$303,B6)</f>
        <v/>
      </c>
    </row>
    <row r="7">
      <c r="B7" s="29" t="inlineStr">
        <is>
          <t>Gap</t>
        </is>
      </c>
      <c r="C7" s="27">
        <f>COUNTIF(RCM!$Q$2:$Q$303,B7)</f>
        <v/>
      </c>
    </row>
    <row r="8">
      <c r="B8" s="30" t="inlineStr">
        <is>
          <t>Total</t>
        </is>
      </c>
      <c r="C8" s="30">
        <f>COUNTA(RCM!$A$2:$A$303)</f>
        <v/>
      </c>
    </row>
    <row r="10">
      <c r="B10" s="25" t="inlineStr">
        <is>
          <t>By Category</t>
        </is>
      </c>
    </row>
    <row r="11">
      <c r="B11" s="27" t="inlineStr">
        <is>
          <t>Entity</t>
        </is>
      </c>
      <c r="C11" s="27">
        <f>COUNTIF(RCM!$C$2:$C$303,B11)</f>
        <v/>
      </c>
    </row>
    <row r="12">
      <c r="B12" s="27" t="inlineStr">
        <is>
          <t>ITGC</t>
        </is>
      </c>
      <c r="C12" s="27">
        <f>COUNTIF(RCM!$C$2:$C$303,B12)</f>
        <v/>
      </c>
    </row>
    <row r="13">
      <c r="B13" s="27" t="inlineStr">
        <is>
          <t>Application</t>
        </is>
      </c>
      <c r="C13" s="27">
        <f>COUNTIF(RCM!$C$2:$C$303,B13)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row r="301">
      <c r="A301" s="15" t="inlineStr">
        <is>
          <t>SCM-01</t>
        </is>
      </c>
      <c r="B301" s="16" t="inlineStr">
        <is>
          <t>Inventory &amp; COGS</t>
        </is>
      </c>
      <c r="C301" s="17" t="inlineStr">
        <is>
          <t>Application</t>
        </is>
      </c>
      <c r="D301" s="16" t="inlineStr">
        <is>
          <t>Supply chain planning; Purchasing commitment</t>
        </is>
      </c>
      <c r="E301"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1" s="16" t="inlineStr">
        <is>
          <t>Authorization/Segregation of Duties</t>
        </is>
      </c>
      <c r="G301"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1" s="17" t="inlineStr">
        <is>
          <t>Prev</t>
        </is>
      </c>
      <c r="I301" s="17" t="inlineStr">
        <is>
          <t>Automated</t>
        </is>
      </c>
      <c r="J301" s="17" t="inlineStr">
        <is>
          <t>Per plan</t>
        </is>
      </c>
      <c r="K301" s="16" t="inlineStr">
        <is>
          <t>Planner / Supply-chain approver</t>
        </is>
      </c>
      <c r="L301" s="17" t="inlineStr">
        <is>
          <t>P4/P10</t>
        </is>
      </c>
      <c r="M301"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1" s="16" t="inlineStr">
        <is>
          <t>Inspect the Draft to PendingApproval to Approved to Converted lifecycle, the scm_approve permission split, the self-approval rejection, and that conversion calls the procurement PR API rather than inserting a PO directly.</t>
        </is>
      </c>
      <c r="O301"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1" s="16" t="inlineStr">
        <is>
          <t>Order plans with maker/checker identities + the GOV-01 queue entry + the linked PR number</t>
        </is>
      </c>
      <c r="Q301" s="18" t="inlineStr">
        <is>
          <t>Implemented</t>
        </is>
      </c>
    </row>
    <row r="302">
      <c r="A302" s="11" t="inlineStr">
        <is>
          <t>SCM-02</t>
        </is>
      </c>
      <c r="B302" s="12" t="inlineStr">
        <is>
          <t>Inventory &amp; COGS</t>
        </is>
      </c>
      <c r="C302" s="13" t="inlineStr">
        <is>
          <t>ITGC</t>
        </is>
      </c>
      <c r="D302" s="12" t="inlineStr">
        <is>
          <t>Supply chain planning (scheduled jobs); Demand signal</t>
        </is>
      </c>
      <c r="E302"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2" s="12" t="inlineStr">
        <is>
          <t>Completeness/Accuracy/Monitoring</t>
        </is>
      </c>
      <c r="G302"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2" s="13" t="inlineStr">
        <is>
          <t>Det/Prev</t>
        </is>
      </c>
      <c r="I302" s="13" t="inlineStr">
        <is>
          <t>Automated</t>
        </is>
      </c>
      <c r="J302" s="13" t="inlineStr">
        <is>
          <t>Per scheduled run</t>
        </is>
      </c>
      <c r="K302" s="12" t="inlineStr">
        <is>
          <t>Planner / IT Ops</t>
        </is>
      </c>
      <c r="L302" s="13" t="inlineStr">
        <is>
          <t>P10</t>
        </is>
      </c>
      <c r="M302"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2" s="12" t="inlineStr">
        <is>
          <t>Inspect the partial unique index on nightly runs, the spike watermark + per-day unique index, and that both job types are registered on the shared queue whose failures raise ops alerts.</t>
        </is>
      </c>
      <c r="O302"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2" s="12" t="inlineStr">
        <is>
          <t>Plan-run register (status, engine, error) + spike-event register + background-job rows with attempt counts</t>
        </is>
      </c>
      <c r="Q302" s="18" t="inlineStr">
        <is>
          <t>Implemented</t>
        </is>
      </c>
    </row>
    <row r="303">
      <c r="A303" s="15" t="inlineStr">
        <is>
          <t>SCM-03</t>
        </is>
      </c>
      <c r="B303" s="16" t="inlineStr">
        <is>
          <t>Inventory &amp; COGS</t>
        </is>
      </c>
      <c r="C303" s="17" t="inlineStr">
        <is>
          <t>Application</t>
        </is>
      </c>
      <c r="D303" s="16" t="inlineStr">
        <is>
          <t>Supply chain planning; Food cost (waste vs stockout)</t>
        </is>
      </c>
      <c r="E303"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3" s="16" t="inlineStr">
        <is>
          <t>Accuracy/Completeness</t>
        </is>
      </c>
      <c r="G303"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3" s="17" t="inlineStr">
        <is>
          <t>Prev/Det</t>
        </is>
      </c>
      <c r="I303" s="17" t="inlineStr">
        <is>
          <t>Automated</t>
        </is>
      </c>
      <c r="J303" s="17" t="inlineStr">
        <is>
          <t>Per planning run</t>
        </is>
      </c>
      <c r="K303" s="16" t="inlineStr">
        <is>
          <t>Planner / Controller</t>
        </is>
      </c>
      <c r="L303" s="17" t="inlineStr">
        <is>
          <t>P10</t>
        </is>
      </c>
      <c r="M303"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3" s="16" t="inlineStr">
        <is>
          <t>Inspect the channel partition in the demand extractor, the per-scenario BoM explosion, and the rationale recorded on each plan line (expected waste/fill, clamps).</t>
        </is>
      </c>
      <c r="O303"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3" s="16" t="inlineStr">
        <is>
          <t>Demand forecasts per run with accuracy + order-plan lines carrying their full rationale</t>
        </is>
      </c>
      <c r="Q303" s="18" t="inlineStr">
        <is>
          <t>Implemented</t>
        </is>
      </c>
    </row>
  </sheetData>
  <autoFilter ref="A1:Q30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COUNTIF(RCM!$Q$2:$Q$303,B5)</f>
        <v/>
      </c>
    </row>
    <row r="6">
      <c r="B6" s="28" t="inlineStr">
        <is>
          <t>Partial</t>
        </is>
      </c>
      <c r="C6" s="27">
        <f>COUNTIF(RCM!$Q$2:$Q$303,B6)</f>
        <v/>
      </c>
    </row>
    <row r="7">
      <c r="B7" s="29" t="inlineStr">
        <is>
          <t>Gap</t>
        </is>
      </c>
      <c r="C7" s="27">
        <f>COUNTIF(RCM!$Q$2:$Q$303,B7)</f>
        <v/>
      </c>
    </row>
    <row r="8">
      <c r="B8" s="30" t="inlineStr">
        <is>
          <t>Total</t>
        </is>
      </c>
      <c r="C8" s="30">
        <f>COUNTA(RCM!$A$2:$A$303)</f>
        <v/>
      </c>
    </row>
    <row r="10">
      <c r="B10" s="25" t="inlineStr">
        <is>
          <t>By Category</t>
        </is>
      </c>
    </row>
    <row r="11">
      <c r="B11" s="27" t="inlineStr">
        <is>
          <t>Entity</t>
        </is>
      </c>
      <c r="C11" s="27">
        <f>COUNTIF(RCM!$C$2:$C$303,B11)</f>
        <v/>
      </c>
    </row>
    <row r="12">
      <c r="B12" s="27" t="inlineStr">
        <is>
          <t>ITGC</t>
        </is>
      </c>
      <c r="C12" s="27">
        <f>COUNTIF(RCM!$C$2:$C$303,B12)</f>
        <v/>
      </c>
    </row>
    <row r="13">
      <c r="B13" s="27" t="inlineStr">
        <is>
          <t>Application</t>
        </is>
      </c>
      <c r="C13" s="27">
        <f>COUNTIF(RCM!$C$2:$C$303,B13)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2026-07-22T10:29:45Z</dcterms:created>
  <dcterms:modified xmlns:dcterms="http://purl.org/dc/terms/" xmlns:xsi="http://www.w3.org/2001/XMLSchema-instance" xsi:type="dcterms:W3CDTF">2026-07-22T10:29:46Z</dcterms:modified>
</cp:coreProperties>
</file>