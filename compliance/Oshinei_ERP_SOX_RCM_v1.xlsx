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'RCM'!$A$1:$Q$224</definedName>
    <definedName name="_xlnm._FilterDatabase" localSheetId="2" hidden="1">'Gap Remediation'!$A$2:$H$5</definedName>
    <definedName name="_xlnm._FilterDatabase" localSheetId="5" hidden="1">'RCM1'!$A$1:$Q$224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FA-09</t>
        </is>
      </c>
      <c r="B212" s="12" t="inlineStr">
        <is>
          <t>Fixed Assets</t>
        </is>
      </c>
      <c r="C212" s="13" t="inlineStr">
        <is>
          <t>Application</t>
        </is>
      </c>
      <c r="D212" s="12" t="inlineStr">
        <is>
          <t>Property, Plant &amp; Equipment; Cash</t>
        </is>
      </c>
      <c r="E212" s="12" t="inlineStr">
        <is>
          <t>Asset disposed without independent review — one person writes an asset off the books and records the proceeds (asset-stripping / theft: dispose a still-held asset, or to a related party below value).</t>
        </is>
      </c>
      <c r="F212" s="12" t="inlineStr">
        <is>
          <t>Authorization</t>
        </is>
      </c>
      <c r="G21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2" s="13" t="inlineStr">
        <is>
          <t>Prev</t>
        </is>
      </c>
      <c r="I212" s="13" t="inlineStr">
        <is>
          <t>Automated</t>
        </is>
      </c>
      <c r="J212" s="13" t="inlineStr">
        <is>
          <t>Per disposal</t>
        </is>
      </c>
      <c r="K212" s="12" t="inlineStr">
        <is>
          <t>FaAccountant / Controller</t>
        </is>
      </c>
      <c r="L212" s="13" t="inlineStr">
        <is>
          <t>P10</t>
        </is>
      </c>
      <c r="M212" s="12" t="inlineStr">
        <is>
          <t>assets.service.ts dispose(pendingApproval Draft)/approveDisposal/rejectDisposal; assets.controller.ts (:assetNo/dispose/approve|reject); schema/assets.ts fixed_assets.disposal_pending + migration 0135; cutover/basics.ts + worldclass.ts + compliance.ts (ToE)</t>
        </is>
      </c>
      <c r="N212" s="12" t="inlineStr">
        <is>
          <t>Inspect Draft→approve flow + the approver≠requester check + deferred status/recycle.</t>
        </is>
      </c>
      <c r="O212" s="12" t="inlineStr">
        <is>
          <t>Re-perform: request a disposal (Draft JE excluded), attempt self-approve (SOD_VIOLATION), approve as a different user; confirm status→disposed + surplus recycled only after approval (re-performed by the harnesses).</t>
        </is>
      </c>
      <c r="P212" s="12" t="inlineStr">
        <is>
          <t>Disposal approval log + SoD test</t>
        </is>
      </c>
      <c r="Q212" s="18" t="inlineStr">
        <is>
          <t>Implemented</t>
        </is>
      </c>
    </row>
    <row r="213">
      <c r="A213" s="15" t="inlineStr">
        <is>
          <t>FA-10</t>
        </is>
      </c>
      <c r="B213" s="16" t="inlineStr">
        <is>
          <t>Fixed Assets</t>
        </is>
      </c>
      <c r="C213" s="17" t="inlineStr">
        <is>
          <t>Application</t>
        </is>
      </c>
      <c r="D213" s="16" t="inlineStr">
        <is>
          <t>Property, Plant &amp; Equipment; Accounts Payable</t>
        </is>
      </c>
      <c r="E213" s="16" t="inlineStr">
        <is>
          <t>Capital purchases mis-capitalised or capitalised without independent review — the person who receives the goods also decides what enters the asset register and at what cost/useful life (fictitious or over-valued assets; capex/opex mis-classification).</t>
        </is>
      </c>
      <c r="F213" s="16" t="inlineStr">
        <is>
          <t>Authorization; Accuracy</t>
        </is>
      </c>
      <c r="G21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3" s="17" t="inlineStr">
        <is>
          <t>Prev</t>
        </is>
      </c>
      <c r="I213" s="17" t="inlineStr">
        <is>
          <t>Automated</t>
        </is>
      </c>
      <c r="J213" s="17" t="inlineStr">
        <is>
          <t>Per capital receipt</t>
        </is>
      </c>
      <c r="K213" s="16" t="inlineStr">
        <is>
          <t>FaAccountant / Controller</t>
        </is>
      </c>
      <c r="L213" s="17" t="inlineStr">
        <is>
          <t>P10</t>
        </is>
      </c>
      <c r="M21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3" s="16" t="inlineStr">
        <is>
          <t>Inspect the eligible→request→approve flow + approver≠requester check + the inventory-vs-asset routing of capital lines.</t>
        </is>
      </c>
      <c r="O213" s="16" t="inlineStr">
        <is>
          <t>Re-perform: receive a capital line, raise a registration (no GL), attempt self-approve (SOD_VIOLATION), approve as a different user; confirm the asset + Dr 1500/Cr 2000 post only after approval and the line cannot be re-registered (re-performed by the harnesses).</t>
        </is>
      </c>
      <c r="P213" s="16" t="inlineStr">
        <is>
          <t>Capitalization approval log + SoD test</t>
        </is>
      </c>
      <c r="Q213" s="18" t="inlineStr">
        <is>
          <t>Implemented</t>
        </is>
      </c>
    </row>
    <row r="214">
      <c r="A214" s="11" t="inlineStr">
        <is>
          <t>FA-11</t>
        </is>
      </c>
      <c r="B214" s="12" t="inlineStr">
        <is>
          <t>Fixed Assets</t>
        </is>
      </c>
      <c r="C214" s="13" t="inlineStr">
        <is>
          <t>Application</t>
        </is>
      </c>
      <c r="D214" s="12" t="inlineStr">
        <is>
          <t>Property, Plant &amp; Equipment</t>
        </is>
      </c>
      <c r="E21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4" s="12" t="inlineStr">
        <is>
          <t>Authorization; Existence</t>
        </is>
      </c>
      <c r="G21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4" s="13" t="inlineStr">
        <is>
          <t>Prev / Det</t>
        </is>
      </c>
      <c r="I214" s="13" t="inlineStr">
        <is>
          <t>Automated</t>
        </is>
      </c>
      <c r="J214" s="13" t="inlineStr">
        <is>
          <t>Per custody move / per audit</t>
        </is>
      </c>
      <c r="K214" s="12" t="inlineStr">
        <is>
          <t>FaAccountant / Controller</t>
        </is>
      </c>
      <c r="L214" s="13" t="inlineStr">
        <is>
          <t>P10</t>
        </is>
      </c>
      <c r="M21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4" s="12" t="inlineStr">
        <is>
          <t>Inspect the scan-&gt;request-&gt;approve flow + the approver!=requester check + the audit reconcile-&gt;custody-request path.</t>
        </is>
      </c>
      <c r="O21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4" s="12" t="inlineStr">
        <is>
          <t>Custody-change approval log + audit reconciliation + SoD test</t>
        </is>
      </c>
      <c r="Q214" s="18" t="inlineStr">
        <is>
          <t>Implemented</t>
        </is>
      </c>
    </row>
    <row r="215">
      <c r="A215" s="15" t="inlineStr">
        <is>
          <t>FA-12</t>
        </is>
      </c>
      <c r="B215" s="16" t="inlineStr">
        <is>
          <t>Fixed Assets</t>
        </is>
      </c>
      <c r="C215" s="17" t="inlineStr">
        <is>
          <t>Detective</t>
        </is>
      </c>
      <c r="D215" s="16" t="inlineStr">
        <is>
          <t>Property, Plant &amp; Equipment</t>
        </is>
      </c>
      <c r="E215" s="16" t="inlineStr">
        <is>
          <t>Assets exist on the register but are never physically confirmed — a missing/stolen/scrapped asset stays on the books indefinitely because no periodic existence check flags it, overstating PPE and the existence assertion.</t>
        </is>
      </c>
      <c r="F215" s="16" t="inlineStr">
        <is>
          <t>Existence; Completeness</t>
        </is>
      </c>
      <c r="G21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5" s="17" t="inlineStr">
        <is>
          <t>Det</t>
        </is>
      </c>
      <c r="I215" s="17" t="inlineStr">
        <is>
          <t>Automated</t>
        </is>
      </c>
      <c r="J215" s="17" t="inlineStr">
        <is>
          <t>Monthly (scheduled) / on demand</t>
        </is>
      </c>
      <c r="K215" s="16" t="inlineStr">
        <is>
          <t>FaAccountant / Controller</t>
        </is>
      </c>
      <c r="L215" s="17" t="inlineStr">
        <is>
          <t>P16</t>
        </is>
      </c>
      <c r="M215" s="16" t="inlineStr">
        <is>
          <t>assets.service.ts unverifiedAssets/auditReport; assets.controller.ts (unverified, audit-report); bi.service.ts REPORT_TYPES asset_verification_exceptions + asset_audit + generateReport blocks; bi.module.ts imports AssetsModule; cutover/module-qr.ts (ToE)</t>
        </is>
      </c>
      <c r="N215" s="16" t="inlineStr">
        <is>
          <t>Inspect the exception query (last Scan Verify/Update vs N-day threshold, acquisition-date fallback) and that the report is a registered, schedulable BI type.</t>
        </is>
      </c>
      <c r="O21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5" s="16" t="inlineStr">
        <is>
          <t>Scheduled exception report runs + exception list + verification-movement log</t>
        </is>
      </c>
      <c r="Q215" s="18" t="inlineStr">
        <is>
          <t>Implemented</t>
        </is>
      </c>
    </row>
    <row r="216">
      <c r="A216" s="11" t="inlineStr">
        <is>
          <t>FA-13</t>
        </is>
      </c>
      <c r="B216" s="12" t="inlineStr">
        <is>
          <t>Fixed Assets</t>
        </is>
      </c>
      <c r="C216" s="13" t="inlineStr">
        <is>
          <t>Application</t>
        </is>
      </c>
      <c r="D216" s="12" t="inlineStr">
        <is>
          <t>Property, Plant &amp; Equipment; Accounts Payable</t>
        </is>
      </c>
      <c r="E21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6" s="12" t="inlineStr">
        <is>
          <t>Authorization; Accuracy</t>
        </is>
      </c>
      <c r="G21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6" s="13" t="inlineStr">
        <is>
          <t>Prev</t>
        </is>
      </c>
      <c r="I216" s="13" t="inlineStr">
        <is>
          <t>Automated</t>
        </is>
      </c>
      <c r="J216" s="13" t="inlineStr">
        <is>
          <t>Per capitalisation</t>
        </is>
      </c>
      <c r="K216" s="12" t="inlineStr">
        <is>
          <t>FaAccountant / Controller</t>
        </is>
      </c>
      <c r="L216" s="13" t="inlineStr">
        <is>
          <t>P10</t>
        </is>
      </c>
      <c r="M21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6" s="12" t="inlineStr">
        <is>
          <t>Inspect the accumulate-&gt;settle-&gt;approve flow + the approver!=requester check + the Dr 1500/Cr 1520 reclassification, and that deferred tax consumes the real tax NBV.</t>
        </is>
      </c>
      <c r="O21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6" s="12" t="inlineStr">
        <is>
          <t>CIP settlement approval log + SoD test + tax-book/deferred-tax tie-out</t>
        </is>
      </c>
      <c r="Q216" s="18" t="inlineStr">
        <is>
          <t>Implemented</t>
        </is>
      </c>
    </row>
    <row r="217">
      <c r="A217" s="15" t="inlineStr">
        <is>
          <t>CON-01</t>
        </is>
      </c>
      <c r="B217" s="16" t="inlineStr">
        <is>
          <t>Consolidation &amp; FX</t>
        </is>
      </c>
      <c r="C217" s="17" t="inlineStr">
        <is>
          <t>Application</t>
        </is>
      </c>
      <c r="D217" s="16" t="inlineStr">
        <is>
          <t>Consolidation</t>
        </is>
      </c>
      <c r="E217" s="16" t="inlineStr">
        <is>
          <t>Group consolidation mis-stated (ownership/currency).</t>
        </is>
      </c>
      <c r="F217" s="16" t="inlineStr">
        <is>
          <t>Accuracy</t>
        </is>
      </c>
      <c r="G217" s="16" t="inlineStr">
        <is>
          <t>Consolidation run (ownership %, entity currency) gated by 'approvals'.</t>
        </is>
      </c>
      <c r="H217" s="17" t="inlineStr">
        <is>
          <t>Auto+Manual</t>
        </is>
      </c>
      <c r="I217" s="17" t="inlineStr">
        <is>
          <t>Period</t>
        </is>
      </c>
      <c r="J217" s="17" t="inlineStr">
        <is>
          <t>Period</t>
        </is>
      </c>
      <c r="K217" s="16" t="inlineStr">
        <is>
          <t>Group Controller</t>
        </is>
      </c>
      <c r="L217" s="17" t="inlineStr">
        <is>
          <t>P10</t>
        </is>
      </c>
      <c r="M217" s="16" t="inlineStr">
        <is>
          <t>consolidation.service.ts (runConsolidation @Permissions approvals)</t>
        </is>
      </c>
      <c r="N217" s="16" t="inlineStr">
        <is>
          <t>Inspect consolidation logic + gate.</t>
        </is>
      </c>
      <c r="O217" s="16" t="inlineStr">
        <is>
          <t>Sample period: consolidated TB ties to entities.</t>
        </is>
      </c>
      <c r="P217" s="16" t="inlineStr">
        <is>
          <t>Consol TB</t>
        </is>
      </c>
      <c r="Q217" s="18" t="inlineStr">
        <is>
          <t>Implemented</t>
        </is>
      </c>
    </row>
    <row r="218">
      <c r="A218" s="11" t="inlineStr">
        <is>
          <t>CON-02</t>
        </is>
      </c>
      <c r="B218" s="12" t="inlineStr">
        <is>
          <t>Consolidation &amp; FX</t>
        </is>
      </c>
      <c r="C218" s="13" t="inlineStr">
        <is>
          <t>Application</t>
        </is>
      </c>
      <c r="D218" s="12" t="inlineStr">
        <is>
          <t>FX gain/loss</t>
        </is>
      </c>
      <c r="E218" s="12" t="inlineStr">
        <is>
          <t>FX exposures not revalued at period-end.</t>
        </is>
      </c>
      <c r="F218" s="12" t="inlineStr">
        <is>
          <t>Valuation</t>
        </is>
      </c>
      <c r="G218" s="12" t="inlineStr">
        <is>
          <t>FX revaluation at period-end rates; unrealized FX posted (acct 5400).</t>
        </is>
      </c>
      <c r="H218" s="13" t="inlineStr">
        <is>
          <t>Auto+Manual</t>
        </is>
      </c>
      <c r="I218" s="13" t="inlineStr">
        <is>
          <t>Period-end</t>
        </is>
      </c>
      <c r="J218" s="13" t="inlineStr">
        <is>
          <t>Period</t>
        </is>
      </c>
      <c r="K218" s="12" t="inlineStr">
        <is>
          <t>Controller</t>
        </is>
      </c>
      <c r="L218" s="13" t="inlineStr">
        <is>
          <t>P10</t>
        </is>
      </c>
      <c r="M218" s="12" t="inlineStr">
        <is>
          <t>fx.service.ts (revalue / unrealized report)</t>
        </is>
      </c>
      <c r="N218" s="12" t="inlineStr">
        <is>
          <t>Inspect reval logic + rates.</t>
        </is>
      </c>
      <c r="O218" s="12" t="inlineStr">
        <is>
          <t>Recompute reval on sample balances.</t>
        </is>
      </c>
      <c r="P218" s="12" t="inlineStr">
        <is>
          <t>FX reval JE</t>
        </is>
      </c>
      <c r="Q218" s="18" t="inlineStr">
        <is>
          <t>Implemented</t>
        </is>
      </c>
    </row>
    <row r="219">
      <c r="A219" s="15" t="inlineStr">
        <is>
          <t>CON-03</t>
        </is>
      </c>
      <c r="B219" s="16" t="inlineStr">
        <is>
          <t>Consolidation &amp; FX</t>
        </is>
      </c>
      <c r="C219" s="17" t="inlineStr">
        <is>
          <t>Application</t>
        </is>
      </c>
      <c r="D219" s="16" t="inlineStr">
        <is>
          <t>Consolidation</t>
        </is>
      </c>
      <c r="E219" s="16" t="inlineStr">
        <is>
          <t>Intercompany balances/transactions are not eliminated on consolidation, OR eliminations are mis-stated, so the consolidated group trial balance does not balance and group financials are overstated (IC double-counted).</t>
        </is>
      </c>
      <c r="F219" s="16" t="inlineStr">
        <is>
          <t>Accuracy/Completeness</t>
        </is>
      </c>
      <c r="G21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9" s="17" t="inlineStr">
        <is>
          <t>Prev</t>
        </is>
      </c>
      <c r="I219" s="17" t="inlineStr">
        <is>
          <t>Auto+Manual</t>
        </is>
      </c>
      <c r="J219" s="17" t="inlineStr">
        <is>
          <t>Period</t>
        </is>
      </c>
      <c r="K219" s="16" t="inlineStr">
        <is>
          <t>Group Controller</t>
        </is>
      </c>
      <c r="L219" s="17" t="inlineStr">
        <is>
          <t>P10</t>
        </is>
      </c>
      <c r="M21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9" s="16" t="inlineStr">
        <is>
          <t>Inspect the combine→eliminate→balance flow, the CONSOL_UNBALANCED guard, and the run→post approver≠runner check.</t>
        </is>
      </c>
      <c r="O219" s="16" t="inlineStr">
        <is>
          <t>Re-perform: run a group consolidation, confirm IC 1150/2150 eliminate and the consolidated TB balances; attempt self-post (SELF_POST); post as a different user (Posted); re-run the posted period (ALREADY_POSTED). Re-performed by the consolidation harness.</t>
        </is>
      </c>
      <c r="P219" s="16" t="inlineStr">
        <is>
          <t>Consolidated TB + elimination lines + post log</t>
        </is>
      </c>
      <c r="Q219" s="18" t="inlineStr">
        <is>
          <t>Implemented</t>
        </is>
      </c>
    </row>
    <row r="220">
      <c r="A220" s="11" t="inlineStr">
        <is>
          <t>CON-04</t>
        </is>
      </c>
      <c r="B220" s="12" t="inlineStr">
        <is>
          <t>Consolidation &amp; FX</t>
        </is>
      </c>
      <c r="C220" s="13" t="inlineStr">
        <is>
          <t>Application</t>
        </is>
      </c>
      <c r="D220" s="12" t="inlineStr">
        <is>
          <t>All (segment disclosure)</t>
        </is>
      </c>
      <c r="E220" s="12" t="inlineStr">
        <is>
          <t>Segment (branch/project/department) operating results are not reported, so IFRS 8 segment disclosure is incomplete or inaccurate and management/investors cannot see results by reportable segment.</t>
        </is>
      </c>
      <c r="F220" s="12" t="inlineStr">
        <is>
          <t>Presentation/Disclosure</t>
        </is>
      </c>
      <c r="G22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0" s="13" t="inlineStr">
        <is>
          <t>Det</t>
        </is>
      </c>
      <c r="I220" s="13" t="inlineStr">
        <is>
          <t>Auto+Manual</t>
        </is>
      </c>
      <c r="J220" s="13" t="inlineStr">
        <is>
          <t>Period</t>
        </is>
      </c>
      <c r="K220" s="12" t="inlineStr">
        <is>
          <t>Group Controller</t>
        </is>
      </c>
      <c r="L220" s="13" t="inlineStr">
        <is>
          <t>P10</t>
        </is>
      </c>
      <c r="M220" s="12" t="inlineStr">
        <is>
          <t>consolidation.service.ts defineSegment/listSegments/segmentReport; consolidation.controller.ts (segments, segment-report @exec); schema/consolidation.ts segment_definitions + migration 0170; cutover/consolidation.ts (ToE)</t>
        </is>
      </c>
      <c r="N220" s="12" t="inlineStr">
        <is>
          <t>Inspect the segment mapping + the dimension-grouped P&amp;L aggregation.</t>
        </is>
      </c>
      <c r="O220" s="12" t="inlineStr">
        <is>
          <t>Re-perform: define a segment over branches, run the segment report for a period, confirm revenue/expense/net tie to the underlying dimensioned postings. Re-performed by the consolidation harness.</t>
        </is>
      </c>
      <c r="P220" s="12" t="inlineStr">
        <is>
          <t>Segment P&amp;L report</t>
        </is>
      </c>
      <c r="Q220" s="18" t="inlineStr">
        <is>
          <t>Implemented</t>
        </is>
      </c>
    </row>
    <row r="221">
      <c r="A221" s="15" t="inlineStr">
        <is>
          <t>FX-04</t>
        </is>
      </c>
      <c r="B221" s="16" t="inlineStr">
        <is>
          <t>Consolidation &amp; FX</t>
        </is>
      </c>
      <c r="C221" s="17" t="inlineStr">
        <is>
          <t>Application</t>
        </is>
      </c>
      <c r="D221" s="16" t="inlineStr">
        <is>
          <t>FX gain/loss; Revenue; AR/AP</t>
        </is>
      </c>
      <c r="E221" s="16" t="inlineStr">
        <is>
          <t>A wrong manually-entered FX rate (fat-fingered, e.g. USD 36 keyed as 63) flows straight into a period-end revaluation JE and the unrealized-FX report with no independent review — mis-stating earnings/equity and FX-translated balances.</t>
        </is>
      </c>
      <c r="F221" s="16" t="inlineStr">
        <is>
          <t>Accuracy/Valuation</t>
        </is>
      </c>
      <c r="G22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1" s="17" t="inlineStr">
        <is>
          <t>Prev</t>
        </is>
      </c>
      <c r="I221" s="17" t="inlineStr">
        <is>
          <t>Automated</t>
        </is>
      </c>
      <c r="J221" s="17" t="inlineStr">
        <is>
          <t>Per rate</t>
        </is>
      </c>
      <c r="K221" s="16" t="inlineStr">
        <is>
          <t>Controller / Treasury</t>
        </is>
      </c>
      <c r="L221" s="17" t="inlineStr">
        <is>
          <t>P10</t>
        </is>
      </c>
      <c r="M22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1" s="16" t="inlineStr">
        <is>
          <t>Inspect the request→approve flow + the approver≠requester check + that revaluation/reporting resolve Approved rates only.</t>
        </is>
      </c>
      <c r="O221" s="16" t="inlineStr">
        <is>
          <t>Re-perform: enter a manual rate (PendingApproval), confirm revalue is blocked NO_RATE while pending, attempt self-approve (SOD_VIOLATION), approve as a different user, then revalue succeeds (re-performed by the fxreval harness).</t>
        </is>
      </c>
      <c r="P221" s="16" t="inlineStr">
        <is>
          <t>FX rate approval log + SoD test</t>
        </is>
      </c>
      <c r="Q221" s="18" t="inlineStr">
        <is>
          <t>Implemented</t>
        </is>
      </c>
    </row>
    <row r="222">
      <c r="A222" s="11" t="inlineStr">
        <is>
          <t>CON-05</t>
        </is>
      </c>
      <c r="B222" s="12" t="inlineStr">
        <is>
          <t>Consolidation &amp; FX</t>
        </is>
      </c>
      <c r="C222" s="13" t="inlineStr">
        <is>
          <t>Application</t>
        </is>
      </c>
      <c r="D222" s="12" t="inlineStr">
        <is>
          <t>Consolidation; FX (CTA/OCI); Equity</t>
        </is>
      </c>
      <c r="E22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2" s="12" t="inlineStr">
        <is>
          <t>Accuracy/Valuation/Presentation</t>
        </is>
      </c>
      <c r="G22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2" s="13" t="inlineStr">
        <is>
          <t>Prev</t>
        </is>
      </c>
      <c r="I222" s="13" t="inlineStr">
        <is>
          <t>Automated</t>
        </is>
      </c>
      <c r="J222" s="13" t="inlineStr">
        <is>
          <t>Period</t>
        </is>
      </c>
      <c r="K222" s="12" t="inlineStr">
        <is>
          <t>Group Controller</t>
        </is>
      </c>
      <c r="L222" s="13" t="inlineStr">
        <is>
          <t>P10</t>
        </is>
      </c>
      <c r="M22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2" s="12" t="inlineStr">
        <is>
          <t>Inspect the average-vs-closing rate selection, the CTA plug that rebalances each foreign entity, and the post-elimination consolidated SCF derivation/reconciliation.</t>
        </is>
      </c>
      <c r="O22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2" s="12" t="inlineStr">
        <is>
          <t>Consolidated TB with CTA/OCI line + consolidated SCF</t>
        </is>
      </c>
      <c r="Q222" s="18" t="inlineStr">
        <is>
          <t>Implemented</t>
        </is>
      </c>
    </row>
    <row r="223">
      <c r="A223" s="15" t="inlineStr">
        <is>
          <t>BUD-01</t>
        </is>
      </c>
      <c r="B223" s="16" t="inlineStr">
        <is>
          <t>Budgeting &amp; Planning</t>
        </is>
      </c>
      <c r="C223" s="17" t="inlineStr">
        <is>
          <t>Application</t>
        </is>
      </c>
      <c r="D223" s="16" t="inlineStr">
        <is>
          <t>Budget; All (variance reporting)</t>
        </is>
      </c>
      <c r="E22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3" s="16" t="inlineStr">
        <is>
          <t>Authorization/Accuracy</t>
        </is>
      </c>
      <c r="G22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3" s="17" t="inlineStr">
        <is>
          <t>Prev</t>
        </is>
      </c>
      <c r="I223" s="17" t="inlineStr">
        <is>
          <t>Automated</t>
        </is>
      </c>
      <c r="J223" s="17" t="inlineStr">
        <is>
          <t>Per budget</t>
        </is>
      </c>
      <c r="K223" s="16" t="inlineStr">
        <is>
          <t>Controller / FP&amp;A</t>
        </is>
      </c>
      <c r="L223" s="17" t="inlineStr">
        <is>
          <t>P10</t>
        </is>
      </c>
      <c r="M223" s="16" t="inlineStr">
        <is>
          <t>budget.service.ts upsertBudget(→PendingApproval)/approveBudget/rejectBudget/budgetVsActual(Approved only); budget.controller.ts (budgets/approve|reject|pending gated approvals/gl_close); schema/budgets.ts budgets.status + migration 0142; cutover/budget.ts (ToE)</t>
        </is>
      </c>
      <c r="N223" s="16" t="inlineStr">
        <is>
          <t>Inspect the request→approve flow + the approver≠requester check + that budget-vs-actual counts Approved budgets only.</t>
        </is>
      </c>
      <c r="O223" s="16" t="inlineStr">
        <is>
          <t>Re-perform: upsert a budget (PendingApproval, excluded from variance), attempt self-approve (SOD_VIOLATION), approve as a different user, confirm it then appears in budget-vs-actual (re-performed by the budget harness).</t>
        </is>
      </c>
      <c r="P223" s="16" t="inlineStr">
        <is>
          <t>Budget approval log + SoD test</t>
        </is>
      </c>
      <c r="Q223" s="18" t="inlineStr">
        <is>
          <t>Implemented</t>
        </is>
      </c>
    </row>
    <row r="224">
      <c r="A224" s="11" t="inlineStr">
        <is>
          <t>BUD-02</t>
        </is>
      </c>
      <c r="B224" s="12" t="inlineStr">
        <is>
          <t>Budgeting &amp; Planning</t>
        </is>
      </c>
      <c r="C224" s="13" t="inlineStr">
        <is>
          <t>Application</t>
        </is>
      </c>
      <c r="D224" s="12" t="inlineStr">
        <is>
          <t>Budget; Procurement (P2P spend)</t>
        </is>
      </c>
      <c r="E22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4" s="12" t="inlineStr">
        <is>
          <t>Authorization/Completeness</t>
        </is>
      </c>
      <c r="G22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4" s="13" t="inlineStr">
        <is>
          <t>Prev</t>
        </is>
      </c>
      <c r="I224" s="13" t="inlineStr">
        <is>
          <t>Automated</t>
        </is>
      </c>
      <c r="J224" s="13" t="inlineStr">
        <is>
          <t>Per approval</t>
        </is>
      </c>
      <c r="K224" s="12" t="inlineStr">
        <is>
          <t>Controller / FP&amp;A</t>
        </is>
      </c>
      <c r="L224" s="13" t="inlineStr">
        <is>
          <t>P10</t>
        </is>
      </c>
      <c r="M22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4" s="12" t="inlineStr">
        <is>
          <t>Inspect the availability formula (budget − actuals − open commitments), the policy switch + fail-open default, the exec-only override with mandatory reason, and the commitment lifecycle (reserve→consume/release).</t>
        </is>
      </c>
      <c r="O22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4" s="12" t="inlineStr">
        <is>
          <t>Budget-control policy + budget_commitments audit rows (override_by/override_reason)</t>
        </is>
      </c>
      <c r="Q224" s="18" t="inlineStr">
        <is>
          <t>Implemented</t>
        </is>
      </c>
    </row>
  </sheetData>
  <autoFilter ref="A1:Q2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COUNTIF(RCM!$Q$2:$Q$224,B5)</f>
        <v/>
      </c>
    </row>
    <row r="6">
      <c r="B6" s="27" t="inlineStr">
        <is>
          <t>Partial</t>
        </is>
      </c>
      <c r="C6" s="26">
        <f>COUNTIF(RCM!$Q$2:$Q$224,B6)</f>
        <v/>
      </c>
    </row>
    <row r="7">
      <c r="B7" s="28" t="inlineStr">
        <is>
          <t>Gap</t>
        </is>
      </c>
      <c r="C7" s="26">
        <f>COUNTIF(RCM!$Q$2:$Q$224,B7)</f>
        <v/>
      </c>
    </row>
    <row r="8">
      <c r="B8" s="29" t="inlineStr">
        <is>
          <t>Total</t>
        </is>
      </c>
      <c r="C8" s="29">
        <f>COUNTA(RCM!$A$2:$A$224)</f>
        <v/>
      </c>
    </row>
    <row r="10">
      <c r="B10" s="24" t="inlineStr">
        <is>
          <t>By Category</t>
        </is>
      </c>
    </row>
    <row r="11">
      <c r="B11" s="26" t="inlineStr">
        <is>
          <t>Entity</t>
        </is>
      </c>
      <c r="C11" s="26">
        <f>COUNTIF(RCM!$C$2:$C$224,B11)</f>
        <v/>
      </c>
    </row>
    <row r="12">
      <c r="B12" s="26" t="inlineStr">
        <is>
          <t>ITGC</t>
        </is>
      </c>
      <c r="C12" s="26">
        <f>COUNTIF(RCM!$C$2:$C$224,B12)</f>
        <v/>
      </c>
    </row>
    <row r="13">
      <c r="B13" s="26" t="inlineStr">
        <is>
          <t>Application</t>
        </is>
      </c>
      <c r="C13" s="26">
        <f>COUNTIF(RCM!$C$2:$C$224,B13)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FA-09</t>
        </is>
      </c>
      <c r="B212" s="12" t="inlineStr">
        <is>
          <t>Fixed Assets</t>
        </is>
      </c>
      <c r="C212" s="13" t="inlineStr">
        <is>
          <t>Application</t>
        </is>
      </c>
      <c r="D212" s="12" t="inlineStr">
        <is>
          <t>Property, Plant &amp; Equipment; Cash</t>
        </is>
      </c>
      <c r="E212" s="12" t="inlineStr">
        <is>
          <t>Asset disposed without independent review — one person writes an asset off the books and records the proceeds (asset-stripping / theft: dispose a still-held asset, or to a related party below value).</t>
        </is>
      </c>
      <c r="F212" s="12" t="inlineStr">
        <is>
          <t>Authorization</t>
        </is>
      </c>
      <c r="G21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2" s="13" t="inlineStr">
        <is>
          <t>Prev</t>
        </is>
      </c>
      <c r="I212" s="13" t="inlineStr">
        <is>
          <t>Automated</t>
        </is>
      </c>
      <c r="J212" s="13" t="inlineStr">
        <is>
          <t>Per disposal</t>
        </is>
      </c>
      <c r="K212" s="12" t="inlineStr">
        <is>
          <t>FaAccountant / Controller</t>
        </is>
      </c>
      <c r="L212" s="13" t="inlineStr">
        <is>
          <t>P10</t>
        </is>
      </c>
      <c r="M212" s="12" t="inlineStr">
        <is>
          <t>assets.service.ts dispose(pendingApproval Draft)/approveDisposal/rejectDisposal; assets.controller.ts (:assetNo/dispose/approve|reject); schema/assets.ts fixed_assets.disposal_pending + migration 0135; cutover/basics.ts + worldclass.ts + compliance.ts (ToE)</t>
        </is>
      </c>
      <c r="N212" s="12" t="inlineStr">
        <is>
          <t>Inspect Draft→approve flow + the approver≠requester check + deferred status/recycle.</t>
        </is>
      </c>
      <c r="O212" s="12" t="inlineStr">
        <is>
          <t>Re-perform: request a disposal (Draft JE excluded), attempt self-approve (SOD_VIOLATION), approve as a different user; confirm status→disposed + surplus recycled only after approval (re-performed by the harnesses).</t>
        </is>
      </c>
      <c r="P212" s="12" t="inlineStr">
        <is>
          <t>Disposal approval log + SoD test</t>
        </is>
      </c>
      <c r="Q212" s="18" t="inlineStr">
        <is>
          <t>Implemented</t>
        </is>
      </c>
    </row>
    <row r="213">
      <c r="A213" s="15" t="inlineStr">
        <is>
          <t>FA-10</t>
        </is>
      </c>
      <c r="B213" s="16" t="inlineStr">
        <is>
          <t>Fixed Assets</t>
        </is>
      </c>
      <c r="C213" s="17" t="inlineStr">
        <is>
          <t>Application</t>
        </is>
      </c>
      <c r="D213" s="16" t="inlineStr">
        <is>
          <t>Property, Plant &amp; Equipment; Accounts Payable</t>
        </is>
      </c>
      <c r="E213" s="16" t="inlineStr">
        <is>
          <t>Capital purchases mis-capitalised or capitalised without independent review — the person who receives the goods also decides what enters the asset register and at what cost/useful life (fictitious or over-valued assets; capex/opex mis-classification).</t>
        </is>
      </c>
      <c r="F213" s="16" t="inlineStr">
        <is>
          <t>Authorization; Accuracy</t>
        </is>
      </c>
      <c r="G21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3" s="17" t="inlineStr">
        <is>
          <t>Prev</t>
        </is>
      </c>
      <c r="I213" s="17" t="inlineStr">
        <is>
          <t>Automated</t>
        </is>
      </c>
      <c r="J213" s="17" t="inlineStr">
        <is>
          <t>Per capital receipt</t>
        </is>
      </c>
      <c r="K213" s="16" t="inlineStr">
        <is>
          <t>FaAccountant / Controller</t>
        </is>
      </c>
      <c r="L213" s="17" t="inlineStr">
        <is>
          <t>P10</t>
        </is>
      </c>
      <c r="M21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3" s="16" t="inlineStr">
        <is>
          <t>Inspect the eligible→request→approve flow + approver≠requester check + the inventory-vs-asset routing of capital lines.</t>
        </is>
      </c>
      <c r="O213" s="16" t="inlineStr">
        <is>
          <t>Re-perform: receive a capital line, raise a registration (no GL), attempt self-approve (SOD_VIOLATION), approve as a different user; confirm the asset + Dr 1500/Cr 2000 post only after approval and the line cannot be re-registered (re-performed by the harnesses).</t>
        </is>
      </c>
      <c r="P213" s="16" t="inlineStr">
        <is>
          <t>Capitalization approval log + SoD test</t>
        </is>
      </c>
      <c r="Q213" s="18" t="inlineStr">
        <is>
          <t>Implemented</t>
        </is>
      </c>
    </row>
    <row r="214">
      <c r="A214" s="11" t="inlineStr">
        <is>
          <t>FA-11</t>
        </is>
      </c>
      <c r="B214" s="12" t="inlineStr">
        <is>
          <t>Fixed Assets</t>
        </is>
      </c>
      <c r="C214" s="13" t="inlineStr">
        <is>
          <t>Application</t>
        </is>
      </c>
      <c r="D214" s="12" t="inlineStr">
        <is>
          <t>Property, Plant &amp; Equipment</t>
        </is>
      </c>
      <c r="E21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4" s="12" t="inlineStr">
        <is>
          <t>Authorization; Existence</t>
        </is>
      </c>
      <c r="G21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4" s="13" t="inlineStr">
        <is>
          <t>Prev / Det</t>
        </is>
      </c>
      <c r="I214" s="13" t="inlineStr">
        <is>
          <t>Automated</t>
        </is>
      </c>
      <c r="J214" s="13" t="inlineStr">
        <is>
          <t>Per custody move / per audit</t>
        </is>
      </c>
      <c r="K214" s="12" t="inlineStr">
        <is>
          <t>FaAccountant / Controller</t>
        </is>
      </c>
      <c r="L214" s="13" t="inlineStr">
        <is>
          <t>P10</t>
        </is>
      </c>
      <c r="M21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4" s="12" t="inlineStr">
        <is>
          <t>Inspect the scan-&gt;request-&gt;approve flow + the approver!=requester check + the audit reconcile-&gt;custody-request path.</t>
        </is>
      </c>
      <c r="O21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4" s="12" t="inlineStr">
        <is>
          <t>Custody-change approval log + audit reconciliation + SoD test</t>
        </is>
      </c>
      <c r="Q214" s="18" t="inlineStr">
        <is>
          <t>Implemented</t>
        </is>
      </c>
    </row>
    <row r="215">
      <c r="A215" s="15" t="inlineStr">
        <is>
          <t>FA-12</t>
        </is>
      </c>
      <c r="B215" s="16" t="inlineStr">
        <is>
          <t>Fixed Assets</t>
        </is>
      </c>
      <c r="C215" s="17" t="inlineStr">
        <is>
          <t>Detective</t>
        </is>
      </c>
      <c r="D215" s="16" t="inlineStr">
        <is>
          <t>Property, Plant &amp; Equipment</t>
        </is>
      </c>
      <c r="E215" s="16" t="inlineStr">
        <is>
          <t>Assets exist on the register but are never physically confirmed — a missing/stolen/scrapped asset stays on the books indefinitely because no periodic existence check flags it, overstating PPE and the existence assertion.</t>
        </is>
      </c>
      <c r="F215" s="16" t="inlineStr">
        <is>
          <t>Existence; Completeness</t>
        </is>
      </c>
      <c r="G21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5" s="17" t="inlineStr">
        <is>
          <t>Det</t>
        </is>
      </c>
      <c r="I215" s="17" t="inlineStr">
        <is>
          <t>Automated</t>
        </is>
      </c>
      <c r="J215" s="17" t="inlineStr">
        <is>
          <t>Monthly (scheduled) / on demand</t>
        </is>
      </c>
      <c r="K215" s="16" t="inlineStr">
        <is>
          <t>FaAccountant / Controller</t>
        </is>
      </c>
      <c r="L215" s="17" t="inlineStr">
        <is>
          <t>P16</t>
        </is>
      </c>
      <c r="M215" s="16" t="inlineStr">
        <is>
          <t>assets.service.ts unverifiedAssets/auditReport; assets.controller.ts (unverified, audit-report); bi.service.ts REPORT_TYPES asset_verification_exceptions + asset_audit + generateReport blocks; bi.module.ts imports AssetsModule; cutover/module-qr.ts (ToE)</t>
        </is>
      </c>
      <c r="N215" s="16" t="inlineStr">
        <is>
          <t>Inspect the exception query (last Scan Verify/Update vs N-day threshold, acquisition-date fallback) and that the report is a registered, schedulable BI type.</t>
        </is>
      </c>
      <c r="O21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5" s="16" t="inlineStr">
        <is>
          <t>Scheduled exception report runs + exception list + verification-movement log</t>
        </is>
      </c>
      <c r="Q215" s="18" t="inlineStr">
        <is>
          <t>Implemented</t>
        </is>
      </c>
    </row>
    <row r="216">
      <c r="A216" s="11" t="inlineStr">
        <is>
          <t>FA-13</t>
        </is>
      </c>
      <c r="B216" s="12" t="inlineStr">
        <is>
          <t>Fixed Assets</t>
        </is>
      </c>
      <c r="C216" s="13" t="inlineStr">
        <is>
          <t>Application</t>
        </is>
      </c>
      <c r="D216" s="12" t="inlineStr">
        <is>
          <t>Property, Plant &amp; Equipment; Accounts Payable</t>
        </is>
      </c>
      <c r="E21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6" s="12" t="inlineStr">
        <is>
          <t>Authorization; Accuracy</t>
        </is>
      </c>
      <c r="G21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6" s="13" t="inlineStr">
        <is>
          <t>Prev</t>
        </is>
      </c>
      <c r="I216" s="13" t="inlineStr">
        <is>
          <t>Automated</t>
        </is>
      </c>
      <c r="J216" s="13" t="inlineStr">
        <is>
          <t>Per capitalisation</t>
        </is>
      </c>
      <c r="K216" s="12" t="inlineStr">
        <is>
          <t>FaAccountant / Controller</t>
        </is>
      </c>
      <c r="L216" s="13" t="inlineStr">
        <is>
          <t>P10</t>
        </is>
      </c>
      <c r="M21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6" s="12" t="inlineStr">
        <is>
          <t>Inspect the accumulate-&gt;settle-&gt;approve flow + the approver!=requester check + the Dr 1500/Cr 1520 reclassification, and that deferred tax consumes the real tax NBV.</t>
        </is>
      </c>
      <c r="O21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6" s="12" t="inlineStr">
        <is>
          <t>CIP settlement approval log + SoD test + tax-book/deferred-tax tie-out</t>
        </is>
      </c>
      <c r="Q216" s="18" t="inlineStr">
        <is>
          <t>Implemented</t>
        </is>
      </c>
    </row>
    <row r="217">
      <c r="A217" s="15" t="inlineStr">
        <is>
          <t>CON-01</t>
        </is>
      </c>
      <c r="B217" s="16" t="inlineStr">
        <is>
          <t>Consolidation &amp; FX</t>
        </is>
      </c>
      <c r="C217" s="17" t="inlineStr">
        <is>
          <t>Application</t>
        </is>
      </c>
      <c r="D217" s="16" t="inlineStr">
        <is>
          <t>Consolidation</t>
        </is>
      </c>
      <c r="E217" s="16" t="inlineStr">
        <is>
          <t>Group consolidation mis-stated (ownership/currency).</t>
        </is>
      </c>
      <c r="F217" s="16" t="inlineStr">
        <is>
          <t>Accuracy</t>
        </is>
      </c>
      <c r="G217" s="16" t="inlineStr">
        <is>
          <t>Consolidation run (ownership %, entity currency) gated by 'approvals'.</t>
        </is>
      </c>
      <c r="H217" s="17" t="inlineStr">
        <is>
          <t>Auto+Manual</t>
        </is>
      </c>
      <c r="I217" s="17" t="inlineStr">
        <is>
          <t>Period</t>
        </is>
      </c>
      <c r="J217" s="17" t="inlineStr">
        <is>
          <t>Period</t>
        </is>
      </c>
      <c r="K217" s="16" t="inlineStr">
        <is>
          <t>Group Controller</t>
        </is>
      </c>
      <c r="L217" s="17" t="inlineStr">
        <is>
          <t>P10</t>
        </is>
      </c>
      <c r="M217" s="16" t="inlineStr">
        <is>
          <t>consolidation.service.ts (runConsolidation @Permissions approvals)</t>
        </is>
      </c>
      <c r="N217" s="16" t="inlineStr">
        <is>
          <t>Inspect consolidation logic + gate.</t>
        </is>
      </c>
      <c r="O217" s="16" t="inlineStr">
        <is>
          <t>Sample period: consolidated TB ties to entities.</t>
        </is>
      </c>
      <c r="P217" s="16" t="inlineStr">
        <is>
          <t>Consol TB</t>
        </is>
      </c>
      <c r="Q217" s="18" t="inlineStr">
        <is>
          <t>Implemented</t>
        </is>
      </c>
    </row>
    <row r="218">
      <c r="A218" s="11" t="inlineStr">
        <is>
          <t>CON-02</t>
        </is>
      </c>
      <c r="B218" s="12" t="inlineStr">
        <is>
          <t>Consolidation &amp; FX</t>
        </is>
      </c>
      <c r="C218" s="13" t="inlineStr">
        <is>
          <t>Application</t>
        </is>
      </c>
      <c r="D218" s="12" t="inlineStr">
        <is>
          <t>FX gain/loss</t>
        </is>
      </c>
      <c r="E218" s="12" t="inlineStr">
        <is>
          <t>FX exposures not revalued at period-end.</t>
        </is>
      </c>
      <c r="F218" s="12" t="inlineStr">
        <is>
          <t>Valuation</t>
        </is>
      </c>
      <c r="G218" s="12" t="inlineStr">
        <is>
          <t>FX revaluation at period-end rates; unrealized FX posted (acct 5400).</t>
        </is>
      </c>
      <c r="H218" s="13" t="inlineStr">
        <is>
          <t>Auto+Manual</t>
        </is>
      </c>
      <c r="I218" s="13" t="inlineStr">
        <is>
          <t>Period-end</t>
        </is>
      </c>
      <c r="J218" s="13" t="inlineStr">
        <is>
          <t>Period</t>
        </is>
      </c>
      <c r="K218" s="12" t="inlineStr">
        <is>
          <t>Controller</t>
        </is>
      </c>
      <c r="L218" s="13" t="inlineStr">
        <is>
          <t>P10</t>
        </is>
      </c>
      <c r="M218" s="12" t="inlineStr">
        <is>
          <t>fx.service.ts (revalue / unrealized report)</t>
        </is>
      </c>
      <c r="N218" s="12" t="inlineStr">
        <is>
          <t>Inspect reval logic + rates.</t>
        </is>
      </c>
      <c r="O218" s="12" t="inlineStr">
        <is>
          <t>Recompute reval on sample balances.</t>
        </is>
      </c>
      <c r="P218" s="12" t="inlineStr">
        <is>
          <t>FX reval JE</t>
        </is>
      </c>
      <c r="Q218" s="18" t="inlineStr">
        <is>
          <t>Implemented</t>
        </is>
      </c>
    </row>
    <row r="219">
      <c r="A219" s="15" t="inlineStr">
        <is>
          <t>CON-03</t>
        </is>
      </c>
      <c r="B219" s="16" t="inlineStr">
        <is>
          <t>Consolidation &amp; FX</t>
        </is>
      </c>
      <c r="C219" s="17" t="inlineStr">
        <is>
          <t>Application</t>
        </is>
      </c>
      <c r="D219" s="16" t="inlineStr">
        <is>
          <t>Consolidation</t>
        </is>
      </c>
      <c r="E219" s="16" t="inlineStr">
        <is>
          <t>Intercompany balances/transactions are not eliminated on consolidation, OR eliminations are mis-stated, so the consolidated group trial balance does not balance and group financials are overstated (IC double-counted).</t>
        </is>
      </c>
      <c r="F219" s="16" t="inlineStr">
        <is>
          <t>Accuracy/Completeness</t>
        </is>
      </c>
      <c r="G21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9" s="17" t="inlineStr">
        <is>
          <t>Prev</t>
        </is>
      </c>
      <c r="I219" s="17" t="inlineStr">
        <is>
          <t>Auto+Manual</t>
        </is>
      </c>
      <c r="J219" s="17" t="inlineStr">
        <is>
          <t>Period</t>
        </is>
      </c>
      <c r="K219" s="16" t="inlineStr">
        <is>
          <t>Group Controller</t>
        </is>
      </c>
      <c r="L219" s="17" t="inlineStr">
        <is>
          <t>P10</t>
        </is>
      </c>
      <c r="M21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9" s="16" t="inlineStr">
        <is>
          <t>Inspect the combine→eliminate→balance flow, the CONSOL_UNBALANCED guard, and the run→post approver≠runner check.</t>
        </is>
      </c>
      <c r="O219" s="16" t="inlineStr">
        <is>
          <t>Re-perform: run a group consolidation, confirm IC 1150/2150 eliminate and the consolidated TB balances; attempt self-post (SELF_POST); post as a different user (Posted); re-run the posted period (ALREADY_POSTED). Re-performed by the consolidation harness.</t>
        </is>
      </c>
      <c r="P219" s="16" t="inlineStr">
        <is>
          <t>Consolidated TB + elimination lines + post log</t>
        </is>
      </c>
      <c r="Q219" s="18" t="inlineStr">
        <is>
          <t>Implemented</t>
        </is>
      </c>
    </row>
    <row r="220">
      <c r="A220" s="11" t="inlineStr">
        <is>
          <t>CON-04</t>
        </is>
      </c>
      <c r="B220" s="12" t="inlineStr">
        <is>
          <t>Consolidation &amp; FX</t>
        </is>
      </c>
      <c r="C220" s="13" t="inlineStr">
        <is>
          <t>Application</t>
        </is>
      </c>
      <c r="D220" s="12" t="inlineStr">
        <is>
          <t>All (segment disclosure)</t>
        </is>
      </c>
      <c r="E220" s="12" t="inlineStr">
        <is>
          <t>Segment (branch/project/department) operating results are not reported, so IFRS 8 segment disclosure is incomplete or inaccurate and management/investors cannot see results by reportable segment.</t>
        </is>
      </c>
      <c r="F220" s="12" t="inlineStr">
        <is>
          <t>Presentation/Disclosure</t>
        </is>
      </c>
      <c r="G22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0" s="13" t="inlineStr">
        <is>
          <t>Det</t>
        </is>
      </c>
      <c r="I220" s="13" t="inlineStr">
        <is>
          <t>Auto+Manual</t>
        </is>
      </c>
      <c r="J220" s="13" t="inlineStr">
        <is>
          <t>Period</t>
        </is>
      </c>
      <c r="K220" s="12" t="inlineStr">
        <is>
          <t>Group Controller</t>
        </is>
      </c>
      <c r="L220" s="13" t="inlineStr">
        <is>
          <t>P10</t>
        </is>
      </c>
      <c r="M220" s="12" t="inlineStr">
        <is>
          <t>consolidation.service.ts defineSegment/listSegments/segmentReport; consolidation.controller.ts (segments, segment-report @exec); schema/consolidation.ts segment_definitions + migration 0170; cutover/consolidation.ts (ToE)</t>
        </is>
      </c>
      <c r="N220" s="12" t="inlineStr">
        <is>
          <t>Inspect the segment mapping + the dimension-grouped P&amp;L aggregation.</t>
        </is>
      </c>
      <c r="O220" s="12" t="inlineStr">
        <is>
          <t>Re-perform: define a segment over branches, run the segment report for a period, confirm revenue/expense/net tie to the underlying dimensioned postings. Re-performed by the consolidation harness.</t>
        </is>
      </c>
      <c r="P220" s="12" t="inlineStr">
        <is>
          <t>Segment P&amp;L report</t>
        </is>
      </c>
      <c r="Q220" s="18" t="inlineStr">
        <is>
          <t>Implemented</t>
        </is>
      </c>
    </row>
    <row r="221">
      <c r="A221" s="15" t="inlineStr">
        <is>
          <t>FX-04</t>
        </is>
      </c>
      <c r="B221" s="16" t="inlineStr">
        <is>
          <t>Consolidation &amp; FX</t>
        </is>
      </c>
      <c r="C221" s="17" t="inlineStr">
        <is>
          <t>Application</t>
        </is>
      </c>
      <c r="D221" s="16" t="inlineStr">
        <is>
          <t>FX gain/loss; Revenue; AR/AP</t>
        </is>
      </c>
      <c r="E221" s="16" t="inlineStr">
        <is>
          <t>A wrong manually-entered FX rate (fat-fingered, e.g. USD 36 keyed as 63) flows straight into a period-end revaluation JE and the unrealized-FX report with no independent review — mis-stating earnings/equity and FX-translated balances.</t>
        </is>
      </c>
      <c r="F221" s="16" t="inlineStr">
        <is>
          <t>Accuracy/Valuation</t>
        </is>
      </c>
      <c r="G22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1" s="17" t="inlineStr">
        <is>
          <t>Prev</t>
        </is>
      </c>
      <c r="I221" s="17" t="inlineStr">
        <is>
          <t>Automated</t>
        </is>
      </c>
      <c r="J221" s="17" t="inlineStr">
        <is>
          <t>Per rate</t>
        </is>
      </c>
      <c r="K221" s="16" t="inlineStr">
        <is>
          <t>Controller / Treasury</t>
        </is>
      </c>
      <c r="L221" s="17" t="inlineStr">
        <is>
          <t>P10</t>
        </is>
      </c>
      <c r="M22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1" s="16" t="inlineStr">
        <is>
          <t>Inspect the request→approve flow + the approver≠requester check + that revaluation/reporting resolve Approved rates only.</t>
        </is>
      </c>
      <c r="O221" s="16" t="inlineStr">
        <is>
          <t>Re-perform: enter a manual rate (PendingApproval), confirm revalue is blocked NO_RATE while pending, attempt self-approve (SOD_VIOLATION), approve as a different user, then revalue succeeds (re-performed by the fxreval harness).</t>
        </is>
      </c>
      <c r="P221" s="16" t="inlineStr">
        <is>
          <t>FX rate approval log + SoD test</t>
        </is>
      </c>
      <c r="Q221" s="18" t="inlineStr">
        <is>
          <t>Implemented</t>
        </is>
      </c>
    </row>
    <row r="222">
      <c r="A222" s="11" t="inlineStr">
        <is>
          <t>CON-05</t>
        </is>
      </c>
      <c r="B222" s="12" t="inlineStr">
        <is>
          <t>Consolidation &amp; FX</t>
        </is>
      </c>
      <c r="C222" s="13" t="inlineStr">
        <is>
          <t>Application</t>
        </is>
      </c>
      <c r="D222" s="12" t="inlineStr">
        <is>
          <t>Consolidation; FX (CTA/OCI); Equity</t>
        </is>
      </c>
      <c r="E22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2" s="12" t="inlineStr">
        <is>
          <t>Accuracy/Valuation/Presentation</t>
        </is>
      </c>
      <c r="G22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2" s="13" t="inlineStr">
        <is>
          <t>Prev</t>
        </is>
      </c>
      <c r="I222" s="13" t="inlineStr">
        <is>
          <t>Automated</t>
        </is>
      </c>
      <c r="J222" s="13" t="inlineStr">
        <is>
          <t>Period</t>
        </is>
      </c>
      <c r="K222" s="12" t="inlineStr">
        <is>
          <t>Group Controller</t>
        </is>
      </c>
      <c r="L222" s="13" t="inlineStr">
        <is>
          <t>P10</t>
        </is>
      </c>
      <c r="M22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2" s="12" t="inlineStr">
        <is>
          <t>Inspect the average-vs-closing rate selection, the CTA plug that rebalances each foreign entity, and the post-elimination consolidated SCF derivation/reconciliation.</t>
        </is>
      </c>
      <c r="O22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2" s="12" t="inlineStr">
        <is>
          <t>Consolidated TB with CTA/OCI line + consolidated SCF</t>
        </is>
      </c>
      <c r="Q222" s="18" t="inlineStr">
        <is>
          <t>Implemented</t>
        </is>
      </c>
    </row>
    <row r="223">
      <c r="A223" s="15" t="inlineStr">
        <is>
          <t>BUD-01</t>
        </is>
      </c>
      <c r="B223" s="16" t="inlineStr">
        <is>
          <t>Budgeting &amp; Planning</t>
        </is>
      </c>
      <c r="C223" s="17" t="inlineStr">
        <is>
          <t>Application</t>
        </is>
      </c>
      <c r="D223" s="16" t="inlineStr">
        <is>
          <t>Budget; All (variance reporting)</t>
        </is>
      </c>
      <c r="E22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3" s="16" t="inlineStr">
        <is>
          <t>Authorization/Accuracy</t>
        </is>
      </c>
      <c r="G22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3" s="17" t="inlineStr">
        <is>
          <t>Prev</t>
        </is>
      </c>
      <c r="I223" s="17" t="inlineStr">
        <is>
          <t>Automated</t>
        </is>
      </c>
      <c r="J223" s="17" t="inlineStr">
        <is>
          <t>Per budget</t>
        </is>
      </c>
      <c r="K223" s="16" t="inlineStr">
        <is>
          <t>Controller / FP&amp;A</t>
        </is>
      </c>
      <c r="L223" s="17" t="inlineStr">
        <is>
          <t>P10</t>
        </is>
      </c>
      <c r="M223" s="16" t="inlineStr">
        <is>
          <t>budget.service.ts upsertBudget(→PendingApproval)/approveBudget/rejectBudget/budgetVsActual(Approved only); budget.controller.ts (budgets/approve|reject|pending gated approvals/gl_close); schema/budgets.ts budgets.status + migration 0142; cutover/budget.ts (ToE)</t>
        </is>
      </c>
      <c r="N223" s="16" t="inlineStr">
        <is>
          <t>Inspect the request→approve flow + the approver≠requester check + that budget-vs-actual counts Approved budgets only.</t>
        </is>
      </c>
      <c r="O223" s="16" t="inlineStr">
        <is>
          <t>Re-perform: upsert a budget (PendingApproval, excluded from variance), attempt self-approve (SOD_VIOLATION), approve as a different user, confirm it then appears in budget-vs-actual (re-performed by the budget harness).</t>
        </is>
      </c>
      <c r="P223" s="16" t="inlineStr">
        <is>
          <t>Budget approval log + SoD test</t>
        </is>
      </c>
      <c r="Q223" s="18" t="inlineStr">
        <is>
          <t>Implemented</t>
        </is>
      </c>
    </row>
    <row r="224">
      <c r="A224" s="11" t="inlineStr">
        <is>
          <t>BUD-02</t>
        </is>
      </c>
      <c r="B224" s="12" t="inlineStr">
        <is>
          <t>Budgeting &amp; Planning</t>
        </is>
      </c>
      <c r="C224" s="13" t="inlineStr">
        <is>
          <t>Application</t>
        </is>
      </c>
      <c r="D224" s="12" t="inlineStr">
        <is>
          <t>Budget; Procurement (P2P spend)</t>
        </is>
      </c>
      <c r="E22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4" s="12" t="inlineStr">
        <is>
          <t>Authorization/Completeness</t>
        </is>
      </c>
      <c r="G22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4" s="13" t="inlineStr">
        <is>
          <t>Prev</t>
        </is>
      </c>
      <c r="I224" s="13" t="inlineStr">
        <is>
          <t>Automated</t>
        </is>
      </c>
      <c r="J224" s="13" t="inlineStr">
        <is>
          <t>Per approval</t>
        </is>
      </c>
      <c r="K224" s="12" t="inlineStr">
        <is>
          <t>Controller / FP&amp;A</t>
        </is>
      </c>
      <c r="L224" s="13" t="inlineStr">
        <is>
          <t>P10</t>
        </is>
      </c>
      <c r="M22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4" s="12" t="inlineStr">
        <is>
          <t>Inspect the availability formula (budget − actuals − open commitments), the policy switch + fail-open default, the exec-only override with mandatory reason, and the commitment lifecycle (reserve→consume/release).</t>
        </is>
      </c>
      <c r="O22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4" s="12" t="inlineStr">
        <is>
          <t>Budget-control policy + budget_commitments audit rows (override_by/override_reason)</t>
        </is>
      </c>
      <c r="Q224" s="18" t="inlineStr">
        <is>
          <t>Implemented</t>
        </is>
      </c>
    </row>
  </sheetData>
  <autoFilter ref="A1:Q2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COUNTIF(RCM!$Q$2:$Q$224,B5)</f>
        <v/>
      </c>
    </row>
    <row r="6">
      <c r="B6" s="27" t="inlineStr">
        <is>
          <t>Partial</t>
        </is>
      </c>
      <c r="C6" s="26">
        <f>COUNTIF(RCM!$Q$2:$Q$224,B6)</f>
        <v/>
      </c>
    </row>
    <row r="7">
      <c r="B7" s="28" t="inlineStr">
        <is>
          <t>Gap</t>
        </is>
      </c>
      <c r="C7" s="26">
        <f>COUNTIF(RCM!$Q$2:$Q$224,B7)</f>
        <v/>
      </c>
    </row>
    <row r="8">
      <c r="B8" s="29" t="inlineStr">
        <is>
          <t>Total</t>
        </is>
      </c>
      <c r="C8" s="29">
        <f>COUNTA(RCM!$A$2:$A$224)</f>
        <v/>
      </c>
    </row>
    <row r="10">
      <c r="B10" s="24" t="inlineStr">
        <is>
          <t>By Category</t>
        </is>
      </c>
    </row>
    <row r="11">
      <c r="B11" s="26" t="inlineStr">
        <is>
          <t>Entity</t>
        </is>
      </c>
      <c r="C11" s="26">
        <f>COUNTIF(RCM!$C$2:$C$224,B11)</f>
        <v/>
      </c>
    </row>
    <row r="12">
      <c r="B12" s="26" t="inlineStr">
        <is>
          <t>ITGC</t>
        </is>
      </c>
      <c r="C12" s="26">
        <f>COUNTIF(RCM!$C$2:$C$224,B12)</f>
        <v/>
      </c>
    </row>
    <row r="13">
      <c r="B13" s="26" t="inlineStr">
        <is>
          <t>Application</t>
        </is>
      </c>
      <c r="C13" s="26">
        <f>COUNTIF(RCM!$C$2:$C$224,B13)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2026-07-10T20:32:12Z</dcterms:created>
  <dcterms:modified xsi:type="dcterms:W3CDTF">2026-07-10T20:32:13Z</dcterms:modified>
</cp:coreProperties>
</file>