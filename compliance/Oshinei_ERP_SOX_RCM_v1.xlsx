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'RCM'!$A$1:$Q$205</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MFG-01</t>
        </is>
      </c>
      <c r="B115" s="16" t="inlineStr">
        <is>
          <t>Manufacturing &amp; Costing</t>
        </is>
      </c>
      <c r="C115" s="17" t="inlineStr">
        <is>
          <t>Application</t>
        </is>
      </c>
      <c r="D115" s="16" t="inlineStr">
        <is>
          <t>Inventory; COGS</t>
        </is>
      </c>
      <c r="E115" s="16" t="inlineStr">
        <is>
          <t>Unauthorized BOM/recipe change mis-states standard cost and every downstream WIP/COGS posting; or the role that maintains the recipe also transacts on it.</t>
        </is>
      </c>
      <c r="F115" s="16" t="inlineStr">
        <is>
          <t>Authorization</t>
        </is>
      </c>
      <c r="G11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5" s="17" t="inlineStr">
        <is>
          <t>Prev</t>
        </is>
      </c>
      <c r="I115" s="17" t="inlineStr">
        <is>
          <t>Manual+Auto</t>
        </is>
      </c>
      <c r="J115" s="17" t="inlineStr">
        <is>
          <t>Per BOM change</t>
        </is>
      </c>
      <c r="K115" s="16" t="inlineStr">
        <is>
          <t>HQ MasterSteward / CostAccountant</t>
        </is>
      </c>
      <c r="L115" s="17" t="inlineStr">
        <is>
          <t>P13</t>
        </is>
      </c>
      <c r="M115" s="16" t="inlineStr">
        <is>
          <t>bom master + submissions (/api/bom/master, /api/bom/submissions, /api/portal/bom); manufacturing.service.ts BOM scaling; cutover/cpq.ts + manufacturing.ts (ToE)</t>
        </is>
      </c>
      <c r="N115" s="16" t="inlineStr">
        <is>
          <t>Inspect BOM maintenance access + the submission→approve maker-checker + the costing roll-up.</t>
        </is>
      </c>
      <c r="O115" s="16" t="inlineStr">
        <is>
          <t>Sample BOM change is HQ-approved before use; standard cost rolls up correctly.</t>
        </is>
      </c>
      <c r="P115" s="16" t="inlineStr">
        <is>
          <t>BOM approval log; costing roll-up</t>
        </is>
      </c>
      <c r="Q115" s="18" t="inlineStr">
        <is>
          <t>Implemented</t>
        </is>
      </c>
    </row>
    <row r="116">
      <c r="A116" s="11" t="inlineStr">
        <is>
          <t>MFG-02</t>
        </is>
      </c>
      <c r="B116" s="12" t="inlineStr">
        <is>
          <t>Manufacturing &amp; Costing</t>
        </is>
      </c>
      <c r="C116" s="13" t="inlineStr">
        <is>
          <t>Application</t>
        </is>
      </c>
      <c r="D116" s="12" t="inlineStr">
        <is>
          <t>WIP; Finished Goods; COGS</t>
        </is>
      </c>
      <c r="E116" s="12" t="inlineStr">
        <is>
          <t>Production cost is mis-stated: WIP not relieved, the conversion absorption left stranded, or a yield loss (spoilage/waste) silently capitalised into finished-goods inventory instead of expensed.</t>
        </is>
      </c>
      <c r="F116" s="12" t="inlineStr">
        <is>
          <t>Valuation/Completeness/Accuracy</t>
        </is>
      </c>
      <c r="G11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6" s="13" t="inlineStr">
        <is>
          <t>Prev</t>
        </is>
      </c>
      <c r="I116" s="13" t="inlineStr">
        <is>
          <t>Automated</t>
        </is>
      </c>
      <c r="J116" s="13" t="inlineStr">
        <is>
          <t>Per work order</t>
        </is>
      </c>
      <c r="K116" s="12" t="inlineStr">
        <is>
          <t>Warehouse / CostAccountant</t>
        </is>
      </c>
      <c r="L116" s="13" t="inlineStr">
        <is>
          <t>P13</t>
        </is>
      </c>
      <c r="M116" s="12" t="inlineStr">
        <is>
          <t>manufacturing.service.ts issue/complete (yield variance to 5810; fmt exposes yield_variance); manufacturing.controller.ts (bom_master/warehouse/exec); schema/manufacturing.ts work_orders; cutover/manufacturing.ts (ToE)</t>
        </is>
      </c>
      <c r="N116" s="12" t="inlineStr">
        <is>
          <t>Inspect the issue/complete JEs + the standard-unit-cost FG valuation + the yield-variance plug + the status guard.</t>
        </is>
      </c>
      <c r="O116" s="12" t="inlineStr">
        <is>
          <t>Re-perform: issue (WIP charged), complete at full yield (FG = full cost, no variance) and at a short yield (FG = std×produced, the lost yield to 5810, WIP nets to 0, TB balanced) — re-performed by the harness.</t>
        </is>
      </c>
      <c r="P116" s="12" t="inlineStr">
        <is>
          <t>WO costing register (yield_variance per WO); production JEs</t>
        </is>
      </c>
      <c r="Q116" s="18" t="inlineStr">
        <is>
          <t>Implemented</t>
        </is>
      </c>
    </row>
    <row r="117">
      <c r="A117" s="15" t="inlineStr">
        <is>
          <t>MFG-03</t>
        </is>
      </c>
      <c r="B117" s="16" t="inlineStr">
        <is>
          <t>Manufacturing &amp; Costing</t>
        </is>
      </c>
      <c r="C117" s="17" t="inlineStr">
        <is>
          <t>Application</t>
        </is>
      </c>
      <c r="D117" s="16" t="inlineStr">
        <is>
          <t>Inventory; COGS</t>
        </is>
      </c>
      <c r="E117" s="16" t="inlineStr">
        <is>
          <t>Standard-cost inventory received without isolating the price variance — actual purchase cost buried in inventory, COGS and PPV mis-stated.</t>
        </is>
      </c>
      <c r="F117" s="16" t="inlineStr">
        <is>
          <t>Valuation/Accuracy</t>
        </is>
      </c>
      <c r="G11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7" s="17" t="inlineStr">
        <is>
          <t>Det</t>
        </is>
      </c>
      <c r="I117" s="17" t="inlineStr">
        <is>
          <t>Automated</t>
        </is>
      </c>
      <c r="J117" s="17" t="inlineStr">
        <is>
          <t>Per receipt</t>
        </is>
      </c>
      <c r="K117" s="16" t="inlineStr">
        <is>
          <t>CostAccountant</t>
        </is>
      </c>
      <c r="L117" s="17" t="inlineStr">
        <is>
          <t>P13</t>
        </is>
      </c>
      <c r="M117" s="16" t="inlineStr">
        <is>
          <t>costing.service.ts (config/valuation, GRV capitalisation + 5500 PPV); costing.controller.ts (masterdata); cutover/costing.ts (ToE)</t>
        </is>
      </c>
      <c r="N117" s="16" t="inlineStr">
        <is>
          <t>Inspect the per-method capitalisation routing + the PPV plug.</t>
        </is>
      </c>
      <c r="O117" s="16" t="inlineStr">
        <is>
          <t>Re-perform a STD receipt at actual ≠ standard → PPV isolated to 5500, JE balanced; valuation ties to GL 1200/1210/1250.</t>
        </is>
      </c>
      <c r="P117" s="16" t="inlineStr">
        <is>
          <t>PPV postings; costing valuation</t>
        </is>
      </c>
      <c r="Q117" s="18" t="inlineStr">
        <is>
          <t>Implemented</t>
        </is>
      </c>
    </row>
    <row r="118">
      <c r="A118" s="11" t="inlineStr">
        <is>
          <t>PROJ-01</t>
        </is>
      </c>
      <c r="B118" s="12" t="inlineStr">
        <is>
          <t>Project Accounting</t>
        </is>
      </c>
      <c r="C118" s="13" t="inlineStr">
        <is>
          <t>Application</t>
        </is>
      </c>
      <c r="D118" s="12" t="inlineStr">
        <is>
          <t>Project WIP; COGS</t>
        </is>
      </c>
      <c r="E118" s="12" t="inlineStr">
        <is>
          <t>Project cost mis-stated: a recoverable cost not captured, or an UN-recoverable (non-billable) cost capitalised into project WIP as an asset that overstates the unbilled balance and inflates margin.</t>
        </is>
      </c>
      <c r="F118" s="12" t="inlineStr">
        <is>
          <t>Valuation/Accuracy/Completeness</t>
        </is>
      </c>
      <c r="G11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8" s="13" t="inlineStr">
        <is>
          <t>Prev</t>
        </is>
      </c>
      <c r="I118" s="13" t="inlineStr">
        <is>
          <t>Automated</t>
        </is>
      </c>
      <c r="J118" s="13" t="inlineStr">
        <is>
          <t>Per cost entry</t>
        </is>
      </c>
      <c r="K118" s="12" t="inlineStr">
        <is>
          <t>ProjectAccountant</t>
        </is>
      </c>
      <c r="L118" s="13" t="inlineStr">
        <is>
          <t>P13</t>
        </is>
      </c>
      <c r="M118" s="12" t="inlineStr">
        <is>
          <t>projects.service.ts logCost (billable→1260, non-billable→5800; fmt exposes non_billable_cost/total_cost/margin); projects.controller.ts; schema/projects.ts project_entries.billable; cutover/projects.ts (ToE)</t>
        </is>
      </c>
      <c r="N118" s="12" t="inlineStr">
        <is>
          <t>Inspect the billable/non-billable GL routing + the WIP vs immediate-expense decision + the margin roll-up.</t>
        </is>
      </c>
      <c r="O118" s="12" t="inlineStr">
        <is>
          <t>Re-perform: a billable cost capitalises to 1260; a non-billable cost expenses to 5800 (NOT WIP), cost_to_date unchanged, and the project margin absorbs it (re-performed by the harness).</t>
        </is>
      </c>
      <c r="P118" s="12" t="inlineStr">
        <is>
          <t>Project cost JEs; cost register (non_billable_cost)</t>
        </is>
      </c>
      <c r="Q118" s="18" t="inlineStr">
        <is>
          <t>Implemented</t>
        </is>
      </c>
    </row>
    <row r="119">
      <c r="A119" s="15" t="inlineStr">
        <is>
          <t>PROJ-02</t>
        </is>
      </c>
      <c r="B119" s="16" t="inlineStr">
        <is>
          <t>Project Accounting</t>
        </is>
      </c>
      <c r="C119" s="17" t="inlineStr">
        <is>
          <t>Application</t>
        </is>
      </c>
      <c r="D119" s="16" t="inlineStr">
        <is>
          <t>Project WIP; Revenue; COGS</t>
        </is>
      </c>
      <c r="E119" s="16" t="inlineStr">
        <is>
          <t>Revenue billed without matching cost — WIP not relieved, cost of services mis-stated, margin overstated.</t>
        </is>
      </c>
      <c r="F119" s="16" t="inlineStr">
        <is>
          <t>Accuracy/Cut-off</t>
        </is>
      </c>
      <c r="G11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9" s="17" t="inlineStr">
        <is>
          <t>Prev</t>
        </is>
      </c>
      <c r="I119" s="17" t="inlineStr">
        <is>
          <t>Automated</t>
        </is>
      </c>
      <c r="J119" s="17" t="inlineStr">
        <is>
          <t>Per billing</t>
        </is>
      </c>
      <c r="K119" s="16" t="inlineStr">
        <is>
          <t>ProjectController / ArSpecialist</t>
        </is>
      </c>
      <c r="L119" s="17" t="inlineStr">
        <is>
          <t>P13</t>
        </is>
      </c>
      <c r="M119" s="16" t="inlineStr">
        <is>
          <t>projects.service.ts bill (revenue + WIP relief, idempotent); projects.controller.ts (R07 vs cost initiation); cutover/projects.ts (ToE)</t>
        </is>
      </c>
      <c r="N119" s="16" t="inlineStr">
        <is>
          <t>Inspect the bill JE + the WIP-relief matching + idempotency.</t>
        </is>
      </c>
      <c r="O119" s="16" t="inlineStr">
        <is>
          <t>Re-perform a billing → revenue recognised, WIP relieved to 5800 up to unrecognised cost, 1260 reduced; margin = billed − recognised cost (re-performed by the harness).</t>
        </is>
      </c>
      <c r="P119" s="16" t="inlineStr">
        <is>
          <t>Billing JEs; margin/WIP measurement</t>
        </is>
      </c>
      <c r="Q119" s="18" t="inlineStr">
        <is>
          <t>Implemented</t>
        </is>
      </c>
    </row>
    <row r="120">
      <c r="A120" s="11" t="inlineStr">
        <is>
          <t>PROJ-03</t>
        </is>
      </c>
      <c r="B120" s="12" t="inlineStr">
        <is>
          <t>Project Accounting</t>
        </is>
      </c>
      <c r="C120" s="13" t="inlineStr">
        <is>
          <t>Detective</t>
        </is>
      </c>
      <c r="D120" s="12" t="inlineStr">
        <is>
          <t>Project WIP</t>
        </is>
      </c>
      <c r="E120" s="12" t="inlineStr">
        <is>
          <t>Unbilled WIP (1260) and the 2390 clearing balance not reviewed at close — stale or unrecoverable WIP carried into the financial statements.</t>
        </is>
      </c>
      <c r="F120" s="12" t="inlineStr">
        <is>
          <t>Valuation</t>
        </is>
      </c>
      <c r="G12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0" s="13" t="inlineStr">
        <is>
          <t>Det</t>
        </is>
      </c>
      <c r="I120" s="13" t="inlineStr">
        <is>
          <t>Hybrid</t>
        </is>
      </c>
      <c r="J120" s="13" t="inlineStr">
        <is>
          <t>Period</t>
        </is>
      </c>
      <c r="K120" s="12" t="inlineStr">
        <is>
          <t>ProjectAccountant / Controller</t>
        </is>
      </c>
      <c r="L120" s="13" t="inlineStr">
        <is>
          <t>P16</t>
        </is>
      </c>
      <c r="M12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0" s="12" t="inlineStr">
        <is>
          <t>Inspect 1260 aging + 2390 clearing + margin review evidence + the signed close review.</t>
        </is>
      </c>
      <c r="O12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0" s="12" t="inlineStr">
        <is>
          <t>WIP/clearing close-review sign-off</t>
        </is>
      </c>
      <c r="Q120" s="18" t="inlineStr">
        <is>
          <t>Implemented</t>
        </is>
      </c>
    </row>
    <row r="121">
      <c r="A121" s="15" t="inlineStr">
        <is>
          <t>CRM-WL</t>
        </is>
      </c>
      <c r="B121" s="16" t="inlineStr">
        <is>
          <t>Project Accounting</t>
        </is>
      </c>
      <c r="C121" s="17" t="inlineStr">
        <is>
          <t>Application</t>
        </is>
      </c>
      <c r="D121" s="16" t="inlineStr">
        <is>
          <t>Project WIP; Revenue (pipeline → delivery)</t>
        </is>
      </c>
      <c r="E12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1" s="16" t="inlineStr">
        <is>
          <t>Authorization/Accuracy/Completeness</t>
        </is>
      </c>
      <c r="G12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1" s="17" t="inlineStr">
        <is>
          <t>Prev</t>
        </is>
      </c>
      <c r="I121" s="17" t="inlineStr">
        <is>
          <t>Automated</t>
        </is>
      </c>
      <c r="J121" s="17" t="inlineStr">
        <is>
          <t>Per conversion</t>
        </is>
      </c>
      <c r="K121" s="16" t="inlineStr">
        <is>
          <t>ProjectController / SalesManager</t>
        </is>
      </c>
      <c r="L121" s="17" t="inlineStr">
        <is>
          <t>P13</t>
        </is>
      </c>
      <c r="M121" s="16" t="inlineStr">
        <is>
          <t>projects.service.ts createFromOpportunity (won-only + idempotent on crm_opp_no); projects.controller.ts POST from-opportunity/:oppNo; schema/projects.ts projects.customer_no/crm_opp_no (migration 0183); crm-pipeline.service.ts (REV-17 stage machine); cutover/projects.ts (ToE)</t>
        </is>
      </c>
      <c r="N121" s="16" t="inlineStr">
        <is>
          <t>Inspect the won-only guard, the customer_no/crm_opp_no stamping, and the idempotency key on crm_opp_no.</t>
        </is>
      </c>
      <c r="O121" s="16" t="inlineStr">
        <is>
          <t>Re-perform: a won opportunity converts to a project seeded with the deal value + crm_opp_no; re-converting returns the same project (no duplicate); an open deal → OPP_NOT_WON; an unknown deal → OPP_NOT_FOUND (re-performed by the harness).</t>
        </is>
      </c>
      <c r="P121" s="16" t="inlineStr">
        <is>
          <t>Conversion audit (project.crm_opp_no → opportunity); won-only / idempotency rejections</t>
        </is>
      </c>
      <c r="Q121" s="18" t="inlineStr">
        <is>
          <t>Implemented</t>
        </is>
      </c>
    </row>
    <row r="122">
      <c r="A122" s="11" t="inlineStr">
        <is>
          <t>PROJ-05</t>
        </is>
      </c>
      <c r="B122" s="12" t="inlineStr">
        <is>
          <t>Project Accounting</t>
        </is>
      </c>
      <c r="C122" s="13" t="inlineStr">
        <is>
          <t>Application</t>
        </is>
      </c>
      <c r="D122" s="12" t="inlineStr">
        <is>
          <t>Project cost (labor); Project WIP</t>
        </is>
      </c>
      <c r="E122" s="12" t="inlineStr">
        <is>
          <t>Project labor is estimated/charged at an ungoverned or arbitrary rate, or a resource is committed beyond capacity — so planned project cost is unreliable and delivery is over-committed (margin erosion / schedule slip).</t>
        </is>
      </c>
      <c r="F122" s="12" t="inlineStr">
        <is>
          <t>Valuation/Accuracy</t>
        </is>
      </c>
      <c r="G12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2" s="13" t="inlineStr">
        <is>
          <t>Prev/Det</t>
        </is>
      </c>
      <c r="I122" s="13" t="inlineStr">
        <is>
          <t>Automated</t>
        </is>
      </c>
      <c r="J122" s="13" t="inlineStr">
        <is>
          <t>Per assignment / continuous</t>
        </is>
      </c>
      <c r="K122" s="12" t="inlineStr">
        <is>
          <t>ProjectManager / ResourceManager</t>
        </is>
      </c>
      <c r="L122" s="13" t="inlineStr">
        <is>
          <t>P13</t>
        </is>
      </c>
      <c r="M12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2" s="12" t="inlineStr">
        <is>
          <t>Inspect the rate-card effective-dating + the snapshot-at-assignment + the allocation guard + the utilization roll-up.</t>
        </is>
      </c>
      <c r="O122" s="12" t="inlineStr">
        <is>
          <t>Re-perform: an assignment snapshots the rate-card rate (zero when none on file); alloc_pct 0 → BAD_ALLOC; a resource booked 60%+60% → utilization 120%, over_allocated (re-performed by the harness).</t>
        </is>
      </c>
      <c r="P122" s="12" t="inlineStr">
        <is>
          <t>Rate card; resource assignments (snapshot rate); utilization report</t>
        </is>
      </c>
      <c r="Q122" s="18" t="inlineStr">
        <is>
          <t>Implemented</t>
        </is>
      </c>
    </row>
    <row r="123">
      <c r="A123" s="15" t="inlineStr">
        <is>
          <t>PROJ-04</t>
        </is>
      </c>
      <c r="B123" s="16" t="inlineStr">
        <is>
          <t>Project Accounting</t>
        </is>
      </c>
      <c r="C123" s="17" t="inlineStr">
        <is>
          <t>Application</t>
        </is>
      </c>
      <c r="D123" s="16" t="inlineStr">
        <is>
          <t>Project cost (labor); Project WIP</t>
        </is>
      </c>
      <c r="E123" s="16" t="inlineStr">
        <is>
          <t>Project labor is charged to a project without independent authorization — a person logs time and the same person posts it to project WIP — so labor cost / unbilled WIP can be inflated or misallocated with no review.</t>
        </is>
      </c>
      <c r="F123" s="16" t="inlineStr">
        <is>
          <t>Authorization/Accuracy</t>
        </is>
      </c>
      <c r="G12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3" s="17" t="inlineStr">
        <is>
          <t>Prev</t>
        </is>
      </c>
      <c r="I123" s="17" t="inlineStr">
        <is>
          <t>Automated</t>
        </is>
      </c>
      <c r="J123" s="17" t="inlineStr">
        <is>
          <t>Per approval</t>
        </is>
      </c>
      <c r="K123" s="16" t="inlineStr">
        <is>
          <t>ProjectManager / Timekeeper (segregated)</t>
        </is>
      </c>
      <c r="L123" s="17" t="inlineStr">
        <is>
          <t>P13</t>
        </is>
      </c>
      <c r="M12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3" s="16" t="inlineStr">
        <is>
          <t>Inspect the submitter≠approver guard + the single-post-on-approval into project WIP.</t>
        </is>
      </c>
      <c r="O123" s="16" t="inlineStr">
        <is>
          <t>Re-perform: a submitter self-approving → SOD_SELF_APPROVAL; an independent approver posts hours×rate to project WIP once; re-approval does not double-post (re-performed by the harness).</t>
        </is>
      </c>
      <c r="P123" s="16" t="inlineStr">
        <is>
          <t>Timesheet approved_by/submitted_by; PRJ-COST JE; SOD_SELF_APPROVAL rejection</t>
        </is>
      </c>
      <c r="Q123" s="18" t="inlineStr">
        <is>
          <t>Implemented</t>
        </is>
      </c>
    </row>
    <row r="124">
      <c r="A124" s="11" t="inlineStr">
        <is>
          <t>PROJ-06</t>
        </is>
      </c>
      <c r="B124" s="12" t="inlineStr">
        <is>
          <t>Project Accounting</t>
        </is>
      </c>
      <c r="C124" s="13" t="inlineStr">
        <is>
          <t>Detective</t>
        </is>
      </c>
      <c r="D124" s="12" t="inlineStr">
        <is>
          <t>Project WIP; Project cost</t>
        </is>
      </c>
      <c r="E124" s="12" t="inlineStr">
        <is>
          <t>Project cost / schedule performance is not measured, so an overrun or slippage is detected late — actual cost diverges from earned value with no CPI/SPI signal, and project WIP (1260 actuals) is not reconciled to the work actually earned.</t>
        </is>
      </c>
      <c r="F124" s="12" t="inlineStr">
        <is>
          <t>Valuation/Accuracy</t>
        </is>
      </c>
      <c r="G12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4" s="13" t="inlineStr">
        <is>
          <t>Det</t>
        </is>
      </c>
      <c r="I124" s="13" t="inlineStr">
        <is>
          <t>Automated</t>
        </is>
      </c>
      <c r="J124" s="13" t="inlineStr">
        <is>
          <t>Continuous / period</t>
        </is>
      </c>
      <c r="K124" s="12" t="inlineStr">
        <is>
          <t>ProjectManager / ProjectAccountant</t>
        </is>
      </c>
      <c r="L124" s="13" t="inlineStr">
        <is>
          <t>P16</t>
        </is>
      </c>
      <c r="M124" s="12" t="inlineStr">
        <is>
          <t>projects.service.ts evm (BAC/PV/EV/AC → CPI/SPI/EAC; AC = cost_to_date + non-billable); projects.controller.ts GET :code/evm; schema/projects.ts project_tasks (planned_cost/pct_complete/planned_end; depends_on migration 0187); cutover/projects.ts (ToE)</t>
        </is>
      </c>
      <c r="N124" s="12" t="inlineStr">
        <is>
          <t>Inspect the EV/PV/AC derivation + the CPI/SPI/variance math + the AC-to-WIP reconciliation.</t>
        </is>
      </c>
      <c r="O124" s="12" t="inlineStr">
        <is>
          <t>Re-perform: tasks 1000@100% (scheduled past) + 1000@0% (future) with AC 900 → BAC 2000, EV 1000, PV 1000, CPI 1.1111, SPI 1.0, EAC ~1800 (re-performed by the harness).</t>
        </is>
      </c>
      <c r="P124" s="12" t="inlineStr">
        <is>
          <t>EVM report (CPI/SPI/variances/EAC); WIP (1260) reconciliation</t>
        </is>
      </c>
      <c r="Q124" s="18" t="inlineStr">
        <is>
          <t>Implemented</t>
        </is>
      </c>
    </row>
    <row r="125">
      <c r="A125" s="15" t="inlineStr">
        <is>
          <t>PROJ-07</t>
        </is>
      </c>
      <c r="B125" s="16" t="inlineStr">
        <is>
          <t>Project Accounting</t>
        </is>
      </c>
      <c r="C125" s="17" t="inlineStr">
        <is>
          <t>Application</t>
        </is>
      </c>
      <c r="D125" s="16" t="inlineStr">
        <is>
          <t>Project cost; Project WIP</t>
        </is>
      </c>
      <c r="E125" s="16" t="inlineStr">
        <is>
          <t>A project silently moves its goalposts: the plan (scope/budget/schedule) is re-baselined with no authorization or audit trail, so variance reporting always looks on-target and scope/cost creep is masked.</t>
        </is>
      </c>
      <c r="F125" s="16" t="inlineStr">
        <is>
          <t>Authorization/Accuracy</t>
        </is>
      </c>
      <c r="G12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5" s="17" t="inlineStr">
        <is>
          <t>Prev</t>
        </is>
      </c>
      <c r="I125" s="17" t="inlineStr">
        <is>
          <t>Automated</t>
        </is>
      </c>
      <c r="J125" s="17" t="inlineStr">
        <is>
          <t>Per (re)baseline</t>
        </is>
      </c>
      <c r="K125" s="16" t="inlineStr">
        <is>
          <t>ProjectController / PMO</t>
        </is>
      </c>
      <c r="L125" s="17" t="inlineStr">
        <is>
          <t>P13</t>
        </is>
      </c>
      <c r="M125" s="16" t="inlineStr">
        <is>
          <t>projects.service.ts captureBaseline (reason-gated re-baseline + supersede history) / getBaseline (variance vs active) / currentPlan; projects.controller.ts POST+GET :code/baseline; schema/projects.ts project_baselines (migration 0188); cutover/projects.ts (ToE)</t>
        </is>
      </c>
      <c r="N125" s="16" t="inlineStr">
        <is>
          <t>Inspect the reason-gated re-baseline, the history (active→superseded), and the current-vs-baseline variance.</t>
        </is>
      </c>
      <c r="O125" s="16" t="inlineStr">
        <is>
          <t>Re-perform: capture a baseline (BAC 2000); add scope → variance +500/+25%; re-baseline without a reason → BASELINE_REASON_REQUIRED; with a reason → new active (BAC 2500), variance 0, history 2 (re-performed by the harness).</t>
        </is>
      </c>
      <c r="P125" s="16" t="inlineStr">
        <is>
          <t>Baseline history (active/superseded, reason, captured_by); variance report</t>
        </is>
      </c>
      <c r="Q125" s="18" t="inlineStr">
        <is>
          <t>Implemented</t>
        </is>
      </c>
    </row>
    <row r="126">
      <c r="A126" s="11" t="inlineStr">
        <is>
          <t>PROJ-08</t>
        </is>
      </c>
      <c r="B126" s="12" t="inlineStr">
        <is>
          <t>Project Accounting</t>
        </is>
      </c>
      <c r="C126" s="13" t="inlineStr">
        <is>
          <t>Detective</t>
        </is>
      </c>
      <c r="D126" s="12" t="inlineStr">
        <is>
          <t>Project delivery (risk register)</t>
        </is>
      </c>
      <c r="E126" s="12" t="inlineStr">
        <is>
          <t>A project's threats and problems are not governed: an open HIGH risk (or a materialised issue) goes unmitigated and unreviewed, so a foreseeable cost/schedule overrun is buried instead of surfaced for action at review/close.</t>
        </is>
      </c>
      <c r="F126" s="12" t="inlineStr">
        <is>
          <t>Completeness/Valuation</t>
        </is>
      </c>
      <c r="G12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6" s="13" t="inlineStr">
        <is>
          <t>Det</t>
        </is>
      </c>
      <c r="I126" s="13" t="inlineStr">
        <is>
          <t>Automated</t>
        </is>
      </c>
      <c r="J126" s="13" t="inlineStr">
        <is>
          <t>Per review / at close</t>
        </is>
      </c>
      <c r="K126" s="12" t="inlineStr">
        <is>
          <t>ProjectController / PMO</t>
        </is>
      </c>
      <c r="L126" s="13" t="inlineStr">
        <is>
          <t>P13</t>
        </is>
      </c>
      <c r="M12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6" s="12" t="inlineStr">
        <is>
          <t>Inspect the score/RAG derivation, the open-high and unmitigated-high counts, and the portfolio top-risks roll-up.</t>
        </is>
      </c>
      <c r="O126" s="12" t="inlineStr">
        <is>
          <t>Re-perform: log a high risk (prob 5 × impact 5 = 25, red) with no mitigation → summary unmitigated_high 1; add a mitigation + close a risk → counts fall; portfolio top-risks ranks the open red item first (re-performed by the harness).</t>
        </is>
      </c>
      <c r="P126" s="12" t="inlineStr">
        <is>
          <t>Risk register (RAG, owner, mitigation, due); portfolio top-risks roll-up</t>
        </is>
      </c>
      <c r="Q126" s="18" t="inlineStr">
        <is>
          <t>Implemented</t>
        </is>
      </c>
    </row>
    <row r="127">
      <c r="A127" s="15" t="inlineStr">
        <is>
          <t>PROJ-09</t>
        </is>
      </c>
      <c r="B127" s="16" t="inlineStr">
        <is>
          <t>Project Accounting</t>
        </is>
      </c>
      <c r="C127" s="17" t="inlineStr">
        <is>
          <t>Application</t>
        </is>
      </c>
      <c r="D127" s="16" t="inlineStr">
        <is>
          <t>Project Revenue (4200); Contract Asset (1265); Contract Liability (2410); Project WIP (1260); COGS (5800)</t>
        </is>
      </c>
      <c r="E12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7" s="16" t="inlineStr">
        <is>
          <t>Accuracy/Cut-off/Valuation</t>
        </is>
      </c>
      <c r="G12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7" s="17" t="inlineStr">
        <is>
          <t>Prev</t>
        </is>
      </c>
      <c r="I127" s="17" t="inlineStr">
        <is>
          <t>Automated</t>
        </is>
      </c>
      <c r="J127" s="17" t="inlineStr">
        <is>
          <t>Per period / at recognition</t>
        </is>
      </c>
      <c r="K127" s="16" t="inlineStr">
        <is>
          <t>Financial Controller / PM</t>
        </is>
      </c>
      <c r="L127" s="17" t="inlineStr">
        <is>
          <t>P13</t>
        </is>
      </c>
      <c r="M12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7" s="16" t="inlineStr">
        <is>
          <t>Inspect the cost-to-cost %, the period-revenue delta vs recognised-to-date, the contract asset/liability postings, and that billing on a POC project recognises NO revenue.</t>
        </is>
      </c>
      <c r="O12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7" s="16" t="inlineStr">
        <is>
          <t>Contract asset/liability schedule; period revenue-recognition JEs (4200/1265/2410/5800/1260); POC% reconciliation</t>
        </is>
      </c>
      <c r="Q127" s="18" t="inlineStr">
        <is>
          <t>Implemented</t>
        </is>
      </c>
    </row>
    <row r="128">
      <c r="A128" s="11" t="inlineStr">
        <is>
          <t>PROJ-10</t>
        </is>
      </c>
      <c r="B128" s="12" t="inlineStr">
        <is>
          <t>Project Accounting</t>
        </is>
      </c>
      <c r="C128" s="13" t="inlineStr">
        <is>
          <t>Application</t>
        </is>
      </c>
      <c r="D128" s="12" t="inlineStr">
        <is>
          <t>Project contract value; Project budget</t>
        </is>
      </c>
      <c r="E128" s="12" t="inlineStr">
        <is>
          <t>A project's contract value / scope is changed unilaterally or without an audit trail — a single person inflates the contract (revenue/billing ceiling) or budget over their own work, and the baseline still reads on-target so scope/price creep is invisible.</t>
        </is>
      </c>
      <c r="F128" s="12" t="inlineStr">
        <is>
          <t>Authorization/Segregation of Duties/Accuracy</t>
        </is>
      </c>
      <c r="G12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8" s="13" t="inlineStr">
        <is>
          <t>Prev</t>
        </is>
      </c>
      <c r="I128" s="13" t="inlineStr">
        <is>
          <t>Automated</t>
        </is>
      </c>
      <c r="J128" s="13" t="inlineStr">
        <is>
          <t>Per change order</t>
        </is>
      </c>
      <c r="K128" s="12" t="inlineStr">
        <is>
          <t>ProjectController / PMO</t>
        </is>
      </c>
      <c r="L128" s="13" t="inlineStr">
        <is>
          <t>P13</t>
        </is>
      </c>
      <c r="M12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8" s="12" t="inlineStr">
        <is>
          <t>Inspect the request→approve flow, the approver≠requester check, that a pending CO changes nothing, and the auto re-baseline on approval.</t>
        </is>
      </c>
      <c r="O128" s="12" t="inlineStr">
        <is>
          <t>Re-perform: request a +20000 contract change (pending, contract unchanged); self-approve → SOD_SELF_APPROVAL; a different user approves → contract 120000 + a new baseline; empty CO → EMPTY_CHANGE_ORDER; re-approve → CHANGE_ORDER_DECIDED (re-performed by the harness).</t>
        </is>
      </c>
      <c r="P128" s="12" t="inlineStr">
        <is>
          <t>Change-order register (pending/approved, requester/approver); the re-baseline on approval</t>
        </is>
      </c>
      <c r="Q128" s="18" t="inlineStr">
        <is>
          <t>Implemented</t>
        </is>
      </c>
    </row>
    <row r="129">
      <c r="A129" s="15" t="inlineStr">
        <is>
          <t>PROJ-11</t>
        </is>
      </c>
      <c r="B129" s="16" t="inlineStr">
        <is>
          <t>Project Accounting</t>
        </is>
      </c>
      <c r="C129" s="17" t="inlineStr">
        <is>
          <t>Detective</t>
        </is>
      </c>
      <c r="D129" s="16" t="inlineStr">
        <is>
          <t>Project delivery (governance exceptions)</t>
        </is>
      </c>
      <c r="E12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9" s="16" t="inlineStr">
        <is>
          <t>Completeness/Timeliness</t>
        </is>
      </c>
      <c r="G12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9" s="17" t="inlineStr">
        <is>
          <t>Det</t>
        </is>
      </c>
      <c r="I129" s="17" t="inlineStr">
        <is>
          <t>Automated</t>
        </is>
      </c>
      <c r="J129" s="17" t="inlineStr">
        <is>
          <t>Continuous / per review</t>
        </is>
      </c>
      <c r="K129" s="16" t="inlineStr">
        <is>
          <t>PMO / ProjectController</t>
        </is>
      </c>
      <c r="L129" s="17" t="inlineStr">
        <is>
          <t>P13</t>
        </is>
      </c>
      <c r="M12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9" s="16" t="inlineStr">
        <is>
          <t>Inspect the aggregation across the exception kinds, the severity/sort, the deep-links, and the proactive SSE emit on red/unmitigated-high.</t>
        </is>
      </c>
      <c r="O12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9" s="16" t="inlineStr">
        <is>
          <t>PMO action center worklist (severity-ranked, deep-linked); the project_action SSE feed</t>
        </is>
      </c>
      <c r="Q129" s="18" t="inlineStr">
        <is>
          <t>Implemented</t>
        </is>
      </c>
    </row>
    <row r="130">
      <c r="A130" s="11" t="inlineStr">
        <is>
          <t>PROJ-12</t>
        </is>
      </c>
      <c r="B130" s="12" t="inlineStr">
        <is>
          <t>Project Accounting</t>
        </is>
      </c>
      <c r="C130" s="13" t="inlineStr">
        <is>
          <t>Application</t>
        </is>
      </c>
      <c r="D130" s="12" t="inlineStr">
        <is>
          <t>Project material budget (Bill of Quantities)</t>
        </is>
      </c>
      <c r="E13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0" s="12" t="inlineStr">
        <is>
          <t>Authorization/Accuracy</t>
        </is>
      </c>
      <c r="G13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0" s="13" t="inlineStr">
        <is>
          <t>Prev</t>
        </is>
      </c>
      <c r="I130" s="13" t="inlineStr">
        <is>
          <t>Automated</t>
        </is>
      </c>
      <c r="J130" s="13" t="inlineStr">
        <is>
          <t>Per material draw (PO)</t>
        </is>
      </c>
      <c r="K130" s="12" t="inlineStr">
        <is>
          <t>Procurement / ProjectController</t>
        </is>
      </c>
      <c r="L130" s="13" t="inlineStr">
        <is>
          <t>P13</t>
        </is>
      </c>
      <c r="M13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0" s="12" t="inlineStr">
        <is>
          <t>Inspect the reserve→enforce path, the FOR UPDATE lock, the release-on-cancel/consume-on-receipt lifecycle, and the per-line remaining read model.</t>
        </is>
      </c>
      <c r="O130" s="12" t="inlineStr">
        <is>
          <t>Re-perform: approve a BoQ line budget; a PO within budget reserves and lowers remaining; a further PO that would exceed the line → BUDGET_EXCEEDED (PO not created); cancel the first PO → budget released, remaining restored (re-performed by the harness).</t>
        </is>
      </c>
      <c r="P130" s="12" t="inlineStr">
        <is>
          <t>BoQ line budget/committed/remaining; the project commitments ledger (open/consumed/released)</t>
        </is>
      </c>
      <c r="Q130" s="18" t="inlineStr">
        <is>
          <t>Implemented</t>
        </is>
      </c>
    </row>
    <row r="131">
      <c r="A131" s="15" t="inlineStr">
        <is>
          <t>PROJ-13</t>
        </is>
      </c>
      <c r="B131" s="16" t="inlineStr">
        <is>
          <t>Project Accounting</t>
        </is>
      </c>
      <c r="C131" s="17" t="inlineStr">
        <is>
          <t>Application</t>
        </is>
      </c>
      <c r="D131" s="16" t="inlineStr">
        <is>
          <t>Project material requisition (over-budget draw)</t>
        </is>
      </c>
      <c r="E13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1" s="16" t="inlineStr">
        <is>
          <t>Authorization/Segregation of Duties</t>
        </is>
      </c>
      <c r="G13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1" s="17" t="inlineStr">
        <is>
          <t>Prev</t>
        </is>
      </c>
      <c r="I131" s="17" t="inlineStr">
        <is>
          <t>Automated</t>
        </is>
      </c>
      <c r="J131" s="17" t="inlineStr">
        <is>
          <t>Per material requisition</t>
        </is>
      </c>
      <c r="K131" s="16" t="inlineStr">
        <is>
          <t>Procurement / ProjectController</t>
        </is>
      </c>
      <c r="L131" s="17" t="inlineStr">
        <is>
          <t>P13</t>
        </is>
      </c>
      <c r="M13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1" s="16" t="inlineStr">
        <is>
          <t>Inspect the within-vs-over routing, the maker-checker (approver ≠ requester), the LINE approval card, and the auto-drafted Draft PO carrying the authorised overage.</t>
        </is>
      </c>
      <c r="O13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1" s="16" t="inlineStr">
        <is>
          <t>PMR register (routed/pending/approved/rejected); the over-budget approval + auto-drafted PO</t>
        </is>
      </c>
      <c r="Q131" s="18" t="inlineStr">
        <is>
          <t>Implemented</t>
        </is>
      </c>
    </row>
    <row r="132">
      <c r="A132" s="11" t="inlineStr">
        <is>
          <t>PROJ-14</t>
        </is>
      </c>
      <c r="B132" s="12" t="inlineStr">
        <is>
          <t>Project Accounting</t>
        </is>
      </c>
      <c r="C132" s="13" t="inlineStr">
        <is>
          <t>Application</t>
        </is>
      </c>
      <c r="D132" s="12" t="inlineStr">
        <is>
          <t>Project cost (site cash)</t>
        </is>
      </c>
      <c r="E13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2" s="12" t="inlineStr">
        <is>
          <t>Completeness/Accuracy</t>
        </is>
      </c>
      <c r="G13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2" s="13" t="inlineStr">
        <is>
          <t>Prev</t>
        </is>
      </c>
      <c r="I132" s="13" t="inlineStr">
        <is>
          <t>Automated</t>
        </is>
      </c>
      <c r="J132" s="13" t="inlineStr">
        <is>
          <t>Per advance / reimbursement / petty-cash</t>
        </is>
      </c>
      <c r="K132" s="12" t="inlineStr">
        <is>
          <t>Finance / ProjectController</t>
        </is>
      </c>
      <c r="L132" s="13" t="inlineStr">
        <is>
          <t>P13</t>
        </is>
      </c>
      <c r="M13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2" s="12" t="inlineStr">
        <is>
          <t>Inspect the project_code resolution, the project_id tagging of the GL expense/advance lines, and the site-cash rollup.</t>
        </is>
      </c>
      <c r="O132" s="12" t="inlineStr">
        <is>
          <t>Re-perform: issue a project-tagged advance (Dr 1180 carries project_id) → settle (expense line carries project_id); the project site-cash rollup lists the advance with the correct total; an unknown project_code → PROJECT_NOT_FOUND (re-performed by the harness).</t>
        </is>
      </c>
      <c r="P132" s="12" t="inlineStr">
        <is>
          <t>Project site-cash rollup (advances/reimbursements/petty-cash + totals); project_id on the GL lines</t>
        </is>
      </c>
      <c r="Q132" s="18" t="inlineStr">
        <is>
          <t>Implemented</t>
        </is>
      </c>
    </row>
    <row r="133">
      <c r="A133" s="15" t="inlineStr">
        <is>
          <t>PROJ-15</t>
        </is>
      </c>
      <c r="B133" s="16" t="inlineStr">
        <is>
          <t>Project Accounting</t>
        </is>
      </c>
      <c r="C133" s="17" t="inlineStr">
        <is>
          <t>Application</t>
        </is>
      </c>
      <c r="D133" s="16" t="inlineStr">
        <is>
          <t>Project material scope change (add item to budget)</t>
        </is>
      </c>
      <c r="E13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3" s="16" t="inlineStr">
        <is>
          <t>Authorization/Segregation of Duties</t>
        </is>
      </c>
      <c r="G13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3" s="17" t="inlineStr">
        <is>
          <t>Prev</t>
        </is>
      </c>
      <c r="I133" s="17" t="inlineStr">
        <is>
          <t>Automated</t>
        </is>
      </c>
      <c r="J133" s="17" t="inlineStr">
        <is>
          <t>Per scope-change request</t>
        </is>
      </c>
      <c r="K133" s="16" t="inlineStr">
        <is>
          <t>Planner / Exec / ProjectController</t>
        </is>
      </c>
      <c r="L133" s="17" t="inlineStr">
        <is>
          <t>P13</t>
        </is>
      </c>
      <c r="M13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3" s="16" t="inlineStr">
        <is>
          <t>Inspect the request-only requester path, the ITEM_ALREADY_BUDGETED/NO_APPROVED_BOQ guards, the maker-checker (approver ≠ requester), and the append-line-and-grow-budget on approval.</t>
        </is>
      </c>
      <c r="O13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3" s="16" t="inlineStr">
        <is>
          <t>Project BoQ change-request register (pending/approved/rejected); the appended BoQ line + grown budget</t>
        </is>
      </c>
      <c r="Q133" s="18" t="inlineStr">
        <is>
          <t>Implemented</t>
        </is>
      </c>
    </row>
    <row r="134">
      <c r="A134" s="11" t="inlineStr">
        <is>
          <t>PROJ-16</t>
        </is>
      </c>
      <c r="B134" s="12" t="inlineStr">
        <is>
          <t>Project Accounting</t>
        </is>
      </c>
      <c r="C134" s="13" t="inlineStr">
        <is>
          <t>Application</t>
        </is>
      </c>
      <c r="D134" s="12" t="inlineStr">
        <is>
          <t>Progress billing / retention (งวดงาน)</t>
        </is>
      </c>
      <c r="E13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4" s="12" t="inlineStr">
        <is>
          <t>Accuracy/Authorization/Segregation of Duties</t>
        </is>
      </c>
      <c r="G13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4" s="13" t="inlineStr">
        <is>
          <t>Prev</t>
        </is>
      </c>
      <c r="I134" s="13" t="inlineStr">
        <is>
          <t>Automated</t>
        </is>
      </c>
      <c r="J134" s="13" t="inlineStr">
        <is>
          <t>Per progress claim</t>
        </is>
      </c>
      <c r="K134" s="12" t="inlineStr">
        <is>
          <t>ProjectController / Financial Controller (segregated)</t>
        </is>
      </c>
      <c r="L134" s="13" t="inlineStr">
        <is>
          <t>P13</t>
        </is>
      </c>
      <c r="M13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4" s="12" t="inlineStr">
        <is>
          <t>Inspect the cumulative BoQ-line valuation (no over-certification), the maker-checker certify (certifier ≠ preparer), the AR-net/retention-receivable/revenue split + WIP relief JE, the retention withheld into the sub-ledger, and the Fixed-contract cap.</t>
        </is>
      </c>
      <c r="O13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4" s="12" t="inlineStr">
        <is>
          <t>Progress-claim register (draft/certified); the certification JE (1100/1170/4200/5800/1260); retention receivable in the sub-ledger</t>
        </is>
      </c>
      <c r="Q134" s="18" t="inlineStr">
        <is>
          <t>Implemented</t>
        </is>
      </c>
    </row>
    <row r="135">
      <c r="A135" s="15" t="inlineStr">
        <is>
          <t>PROJ-17</t>
        </is>
      </c>
      <c r="B135" s="16" t="inlineStr">
        <is>
          <t>Project Accounting</t>
        </is>
      </c>
      <c r="C135" s="17" t="inlineStr">
        <is>
          <t>Application</t>
        </is>
      </c>
      <c r="D135" s="16" t="inlineStr">
        <is>
          <t>Subcontractor valuation / retention payable</t>
        </is>
      </c>
      <c r="E13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5" s="16" t="inlineStr">
        <is>
          <t>Accuracy/Authorization/Segregation of Duties</t>
        </is>
      </c>
      <c r="G13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5" s="17" t="inlineStr">
        <is>
          <t>Prev</t>
        </is>
      </c>
      <c r="I135" s="17" t="inlineStr">
        <is>
          <t>Automated</t>
        </is>
      </c>
      <c r="J135" s="17" t="inlineStr">
        <is>
          <t>Per subcontract / valuation</t>
        </is>
      </c>
      <c r="K135" s="16" t="inlineStr">
        <is>
          <t>Procurement / Financial Controller (segregated)</t>
        </is>
      </c>
      <c r="L135" s="17" t="inlineStr">
        <is>
          <t>P13</t>
        </is>
      </c>
      <c r="M13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5" s="16" t="inlineStr">
        <is>
          <t>Subcontract register + valuation JEs (1260/2000/2440); retention payable in the sub-ledger; BoQ commitment</t>
        </is>
      </c>
      <c r="Q135" s="18" t="inlineStr">
        <is>
          <t>Implemented</t>
        </is>
      </c>
    </row>
    <row r="136">
      <c r="A136" s="11" t="inlineStr">
        <is>
          <t>PROJ-18</t>
        </is>
      </c>
      <c r="B136" s="12" t="inlineStr">
        <is>
          <t>Project Accounting</t>
        </is>
      </c>
      <c r="C136" s="13" t="inlineStr">
        <is>
          <t>Application</t>
        </is>
      </c>
      <c r="D136" s="12" t="inlineStr">
        <is>
          <t>Tender award → project &amp; budget baseline</t>
        </is>
      </c>
      <c r="E13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6" s="12" t="inlineStr">
        <is>
          <t>Authorization/Accuracy</t>
        </is>
      </c>
      <c r="G13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6" s="13" t="inlineStr">
        <is>
          <t>Prev</t>
        </is>
      </c>
      <c r="I136" s="13" t="inlineStr">
        <is>
          <t>Automated</t>
        </is>
      </c>
      <c r="J136" s="13" t="inlineStr">
        <is>
          <t>Per tender award</t>
        </is>
      </c>
      <c r="K136" s="12" t="inlineStr">
        <is>
          <t>Estimator / Project Controller (segregated on the BoQ approve)</t>
        </is>
      </c>
      <c r="L136" s="13" t="inlineStr">
        <is>
          <t>P13</t>
        </is>
      </c>
      <c r="M13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6" s="12" t="inlineStr">
        <is>
          <t>Inspect the estimate cost build-up (bid_rate/bid_price), the status machine (won/lost terminal, lost-reason required), the won-only + idempotent award, and the seeded DRAFT BoQ whose maker-checker approve sets the budget baseline.</t>
        </is>
      </c>
      <c r="O13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6" s="12" t="inlineStr">
        <is>
          <t>Tender register + win-rate; the awarded project + its draft-then-approved BoQ baseline</t>
        </is>
      </c>
      <c r="Q136" s="18" t="inlineStr">
        <is>
          <t>Implemented</t>
        </is>
      </c>
    </row>
    <row r="137">
      <c r="A137" s="15" t="inlineStr">
        <is>
          <t>RE-01</t>
        </is>
      </c>
      <c r="B137" s="16" t="inlineStr">
        <is>
          <t>Real Estate</t>
        </is>
      </c>
      <c r="C137" s="17" t="inlineStr">
        <is>
          <t>Application</t>
        </is>
      </c>
      <c r="D137" s="16" t="inlineStr">
        <is>
          <t>Unit inventory (double-allocation)</t>
        </is>
      </c>
      <c r="E137" s="16" t="inlineStr">
        <is>
          <t>A property developer sells the SAME unit twice — a unit already reserved/contracted is booked or contracted again to another buyer, so two buyers hold a claim on one unit and the availability grid overstates inventory.</t>
        </is>
      </c>
      <c r="F137" s="16" t="inlineStr">
        <is>
          <t>Completeness/Accuracy</t>
        </is>
      </c>
      <c r="G13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7" s="17" t="inlineStr">
        <is>
          <t>Prev</t>
        </is>
      </c>
      <c r="I137" s="17" t="inlineStr">
        <is>
          <t>Automated</t>
        </is>
      </c>
      <c r="J137" s="17" t="inlineStr">
        <is>
          <t>Per booking / contract</t>
        </is>
      </c>
      <c r="K137" s="16" t="inlineStr">
        <is>
          <t>Sales / Developer Ops</t>
        </is>
      </c>
      <c r="L137" s="17" t="inlineStr">
        <is>
          <t>P13</t>
        </is>
      </c>
      <c r="M13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7" s="16" t="inlineStr">
        <is>
          <t>Inspect the unit status machine (available→reserved→contracted), the booking/contract admission guards, and the availability grid tie-out.</t>
        </is>
      </c>
      <c r="O137" s="16" t="inlineStr">
        <is>
          <t>Re-perform: book an available unit → reserved; re-book it → UNIT_NOT_AVAILABLE; contract it → contracted; contract it again → UNIT_NOT_CONTRACTABLE; the availability summary reflects the counts (re-performed by the projects harness).</t>
        </is>
      </c>
      <c r="P137" s="16" t="inlineStr">
        <is>
          <t>Unit availability grid; booking/contract admission log</t>
        </is>
      </c>
      <c r="Q137" s="18" t="inlineStr">
        <is>
          <t>Implemented</t>
        </is>
      </c>
    </row>
    <row r="138">
      <c r="A138" s="11" t="inlineStr">
        <is>
          <t>RE-02</t>
        </is>
      </c>
      <c r="B138" s="12" t="inlineStr">
        <is>
          <t>Real Estate</t>
        </is>
      </c>
      <c r="C138" s="13" t="inlineStr">
        <is>
          <t>Application</t>
        </is>
      </c>
      <c r="D138" s="12" t="inlineStr">
        <is>
          <t>Sale contract (price/discount authority)</t>
        </is>
      </c>
      <c r="E138" s="12" t="inlineStr">
        <is>
          <t>A unit is sold at an unauthorised price — a large discount is granted and the contract self-approved by the salesperson (e.g. to a related buyer), with no independent authorisation of the price/discount before the sale is booked and cash is taken.</t>
        </is>
      </c>
      <c r="F138" s="12" t="inlineStr">
        <is>
          <t>Authorization/Segregation of Duties</t>
        </is>
      </c>
      <c r="G13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8" s="13" t="inlineStr">
        <is>
          <t>Prev</t>
        </is>
      </c>
      <c r="I138" s="13" t="inlineStr">
        <is>
          <t>Automated</t>
        </is>
      </c>
      <c r="J138" s="13" t="inlineStr">
        <is>
          <t>Per sale contract</t>
        </is>
      </c>
      <c r="K138" s="12" t="inlineStr">
        <is>
          <t>Sales Manager / Developer Controller (segregated)</t>
        </is>
      </c>
      <c r="L138" s="13" t="inlineStr">
        <is>
          <t>P13</t>
        </is>
      </c>
      <c r="M13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8" s="12" t="inlineStr">
        <is>
          <t>Inspect the price/discount bounds, the draft-then-approve maker-checker (approver ≠ drafter), and the down-payment → contract-liability posting on approval.</t>
        </is>
      </c>
      <c r="O13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8" s="12" t="inlineStr">
        <is>
          <t>Contract register (draft/active); the down-payment JE (1000/2210/2410); installment schedule</t>
        </is>
      </c>
      <c r="Q138" s="18" t="inlineStr">
        <is>
          <t>Implemented</t>
        </is>
      </c>
    </row>
    <row r="139">
      <c r="A139" s="15" t="inlineStr">
        <is>
          <t>RE-03</t>
        </is>
      </c>
      <c r="B139" s="16" t="inlineStr">
        <is>
          <t>Real Estate</t>
        </is>
      </c>
      <c r="C139" s="17" t="inlineStr">
        <is>
          <t>Application</t>
        </is>
      </c>
      <c r="D139" s="16" t="inlineStr">
        <is>
          <t>Installment application</t>
        </is>
      </c>
      <c r="E139" s="16" t="inlineStr">
        <is>
          <t>An installment receipt is misapplied — a paid installment is paid again (double receipt), or an amount other than the scheduled installment is applied, so the buyer's balance and the contract-liability control are wrong.</t>
        </is>
      </c>
      <c r="F139" s="16" t="inlineStr">
        <is>
          <t>Accuracy/Completeness</t>
        </is>
      </c>
      <c r="G13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9" s="17" t="inlineStr">
        <is>
          <t>Prev</t>
        </is>
      </c>
      <c r="I139" s="17" t="inlineStr">
        <is>
          <t>Automated</t>
        </is>
      </c>
      <c r="J139" s="17" t="inlineStr">
        <is>
          <t>Per installment receipt</t>
        </is>
      </c>
      <c r="K139" s="16" t="inlineStr">
        <is>
          <t>AR / Sales</t>
        </is>
      </c>
      <c r="L139" s="17" t="inlineStr">
        <is>
          <t>P13</t>
        </is>
      </c>
      <c r="M13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9" s="16" t="inlineStr">
        <is>
          <t>Inspect the pay-once / exact-amount guards, the cash → contract-liability posting, and the paid/outstanding rollup.</t>
        </is>
      </c>
      <c r="O139" s="16" t="inlineStr">
        <is>
          <t>Re-perform: pay an installment for its exact amount → paid + Dr 1000 / Cr 2410; pay it again → INSTALLMENT_PAID; pay a wrong amount → BAD_AMOUNT; the contract outstanding falls by the paid amount (re-performed by the projects harness).</t>
        </is>
      </c>
      <c r="P139" s="16" t="inlineStr">
        <is>
          <t>Installment schedule (paid/pending); receipt JEs (1000/2410); outstanding rollup</t>
        </is>
      </c>
      <c r="Q139" s="18" t="inlineStr">
        <is>
          <t>Implemented</t>
        </is>
      </c>
    </row>
    <row r="140">
      <c r="A140" s="11" t="inlineStr">
        <is>
          <t>RE-04</t>
        </is>
      </c>
      <c r="B140" s="12" t="inlineStr">
        <is>
          <t>Real Estate</t>
        </is>
      </c>
      <c r="C140" s="13" t="inlineStr">
        <is>
          <t>Application</t>
        </is>
      </c>
      <c r="D140" s="12" t="inlineStr">
        <is>
          <t>Ownership transfer / revenue recognition</t>
        </is>
      </c>
      <c r="E14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0" s="12" t="inlineStr">
        <is>
          <t>Accuracy/Cutoff/Authorization</t>
        </is>
      </c>
      <c r="G14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0" s="13" t="inlineStr">
        <is>
          <t>Prev</t>
        </is>
      </c>
      <c r="I140" s="13" t="inlineStr">
        <is>
          <t>Automated</t>
        </is>
      </c>
      <c r="J140" s="13" t="inlineStr">
        <is>
          <t>Per ownership transfer</t>
        </is>
      </c>
      <c r="K140" s="12" t="inlineStr">
        <is>
          <t>Developer Controller / Legal (segregated on the settled-only gate)</t>
        </is>
      </c>
      <c r="L140" s="13" t="inlineStr">
        <is>
          <t>P13</t>
        </is>
      </c>
      <c r="M14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0" s="12" t="inlineStr">
        <is>
          <t>Inspect the settled-only + authorised transfer gate, the deferred-revenue recognition (2410 → 4200), and the unit-cost relief (5800 ← 1200).</t>
        </is>
      </c>
      <c r="O14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0" s="12" t="inlineStr">
        <is>
          <t>Transferred contracts + the revenue-recognition JE (2410/4200/5800/1200)</t>
        </is>
      </c>
      <c r="Q140" s="18" t="inlineStr">
        <is>
          <t>Implemented</t>
        </is>
      </c>
    </row>
    <row r="141">
      <c r="A141" s="15" t="inlineStr">
        <is>
          <t>GL-01</t>
        </is>
      </c>
      <c r="B141" s="16" t="inlineStr">
        <is>
          <t>General Ledger</t>
        </is>
      </c>
      <c r="C141" s="17" t="inlineStr">
        <is>
          <t>Application</t>
        </is>
      </c>
      <c r="D141" s="16" t="inlineStr">
        <is>
          <t>All</t>
        </is>
      </c>
      <c r="E141" s="16" t="inlineStr">
        <is>
          <t>Unbalanced / one-sided journal entries.</t>
        </is>
      </c>
      <c r="F141" s="16" t="inlineStr">
        <is>
          <t>Accuracy</t>
        </is>
      </c>
      <c r="G141" s="16" t="inlineStr">
        <is>
          <t>Double-entry balanced-by-construction — Σdebit=Σcredit enforced; each line single-sided &amp; non-negative.</t>
        </is>
      </c>
      <c r="H141" s="17" t="inlineStr">
        <is>
          <t>Prev</t>
        </is>
      </c>
      <c r="I141" s="17" t="inlineStr">
        <is>
          <t>Automated</t>
        </is>
      </c>
      <c r="J141" s="17" t="inlineStr">
        <is>
          <t>Per JE</t>
        </is>
      </c>
      <c r="K141" s="16" t="inlineStr">
        <is>
          <t>Controller</t>
        </is>
      </c>
      <c r="L141" s="17" t="inlineStr">
        <is>
          <t>P10</t>
        </is>
      </c>
      <c r="M141" s="16" t="inlineStr">
        <is>
          <t>ledger.service.ts (postEntry — UNBALANCED / INVALID_LINE)</t>
        </is>
      </c>
      <c r="N141" s="16" t="inlineStr">
        <is>
          <t>Inspect balance + line invariants.</t>
        </is>
      </c>
      <c r="O141" s="16" t="inlineStr">
        <is>
          <t>Attempt unbalanced JE → rejected.</t>
        </is>
      </c>
      <c r="P141" s="16" t="inlineStr">
        <is>
          <t>Invariant test</t>
        </is>
      </c>
      <c r="Q141" s="18" t="inlineStr">
        <is>
          <t>Implemented</t>
        </is>
      </c>
    </row>
    <row r="142">
      <c r="A142" s="11" t="inlineStr">
        <is>
          <t>GL-02</t>
        </is>
      </c>
      <c r="B142" s="12" t="inlineStr">
        <is>
          <t>General Ledger</t>
        </is>
      </c>
      <c r="C142" s="13" t="inlineStr">
        <is>
          <t>Application</t>
        </is>
      </c>
      <c r="D142" s="12" t="inlineStr">
        <is>
          <t>All</t>
        </is>
      </c>
      <c r="E142" s="12" t="inlineStr">
        <is>
          <t>Postings to a closed period distort reported results.</t>
        </is>
      </c>
      <c r="F142" s="12" t="inlineStr">
        <is>
          <t>Cutoff</t>
        </is>
      </c>
      <c r="G142" s="12" t="inlineStr">
        <is>
          <t>Period-close lockout — postings to a CLOSED fiscal period are rejected (per-tenant calendar).</t>
        </is>
      </c>
      <c r="H142" s="13" t="inlineStr">
        <is>
          <t>Prev</t>
        </is>
      </c>
      <c r="I142" s="13" t="inlineStr">
        <is>
          <t>Automated</t>
        </is>
      </c>
      <c r="J142" s="13" t="inlineStr">
        <is>
          <t>Per JE</t>
        </is>
      </c>
      <c r="K142" s="12" t="inlineStr">
        <is>
          <t>Controller</t>
        </is>
      </c>
      <c r="L142" s="13" t="inlineStr">
        <is>
          <t>P10</t>
        </is>
      </c>
      <c r="M142" s="12" t="inlineStr">
        <is>
          <t>ledger.service.ts (postEntry PERIOD_CLOSED); fiscal_periods</t>
        </is>
      </c>
      <c r="N142" s="12" t="inlineStr">
        <is>
          <t>Inspect close check.</t>
        </is>
      </c>
      <c r="O142" s="12" t="inlineStr">
        <is>
          <t>Post to closed period → rejected; review exceptions.</t>
        </is>
      </c>
      <c r="P142" s="12" t="inlineStr">
        <is>
          <t>Close-lock test</t>
        </is>
      </c>
      <c r="Q142" s="18" t="inlineStr">
        <is>
          <t>Implemented</t>
        </is>
      </c>
    </row>
    <row r="143">
      <c r="A143" s="15" t="inlineStr">
        <is>
          <t>GL-03</t>
        </is>
      </c>
      <c r="B143" s="16" t="inlineStr">
        <is>
          <t>General Ledger</t>
        </is>
      </c>
      <c r="C143" s="17" t="inlineStr">
        <is>
          <t>Application</t>
        </is>
      </c>
      <c r="D143" s="16" t="inlineStr">
        <is>
          <t>Equity</t>
        </is>
      </c>
      <c r="E143" s="16" t="inlineStr">
        <is>
          <t>Unauthorized year-end close / RE roll.</t>
        </is>
      </c>
      <c r="F143" s="16" t="inlineStr">
        <is>
          <t>Cutoff/Authorization</t>
        </is>
      </c>
      <c r="G143" s="16" t="inlineStr">
        <is>
          <t>Year-end close restricted to 'exec'; closing entries roll to retained earnings.</t>
        </is>
      </c>
      <c r="H143" s="17" t="inlineStr">
        <is>
          <t>Prev</t>
        </is>
      </c>
      <c r="I143" s="17" t="inlineStr">
        <is>
          <t>Auto+Manual</t>
        </is>
      </c>
      <c r="J143" s="17" t="inlineStr">
        <is>
          <t>Annual</t>
        </is>
      </c>
      <c r="K143" s="16" t="inlineStr">
        <is>
          <t>CFO / Controller</t>
        </is>
      </c>
      <c r="L143" s="17" t="inlineStr">
        <is>
          <t>P10/P11</t>
        </is>
      </c>
      <c r="M143" s="16" t="inlineStr">
        <is>
          <t>ledger.controller.ts (close-year @Permissions exec); closeYear</t>
        </is>
      </c>
      <c r="N143" s="16" t="inlineStr">
        <is>
          <t>Inspect permission + closing logic.</t>
        </is>
      </c>
      <c r="O143" s="16" t="inlineStr">
        <is>
          <t>Attempt close w/o exec → 403; review annual close.</t>
        </is>
      </c>
      <c r="P143" s="16" t="inlineStr">
        <is>
          <t>Close package</t>
        </is>
      </c>
      <c r="Q143" s="18" t="inlineStr">
        <is>
          <t>Implemented</t>
        </is>
      </c>
    </row>
    <row r="144">
      <c r="A144" s="11" t="inlineStr">
        <is>
          <t>GL-04</t>
        </is>
      </c>
      <c r="B144" s="12" t="inlineStr">
        <is>
          <t>General Ledger</t>
        </is>
      </c>
      <c r="C144" s="13" t="inlineStr">
        <is>
          <t>Application</t>
        </is>
      </c>
      <c r="D144" s="12" t="inlineStr">
        <is>
          <t>All</t>
        </is>
      </c>
      <c r="E144" s="12" t="inlineStr">
        <is>
          <t>Concurrent posting double-books the same source doc.</t>
        </is>
      </c>
      <c r="F144" s="12" t="inlineStr">
        <is>
          <t>Completeness/Accuracy</t>
        </is>
      </c>
      <c r="G144" s="12" t="inlineStr">
        <is>
          <t>Ledger idempotency — UNIQUE (tenant,source,source_ref,ledger) + ON CONFLICT DO NOTHING in postEntry.</t>
        </is>
      </c>
      <c r="H144" s="13" t="inlineStr">
        <is>
          <t>Prev</t>
        </is>
      </c>
      <c r="I144" s="13" t="inlineStr">
        <is>
          <t>Automated</t>
        </is>
      </c>
      <c r="J144" s="13" t="inlineStr">
        <is>
          <t>Per JE</t>
        </is>
      </c>
      <c r="K144" s="12" t="inlineStr">
        <is>
          <t>Eng Lead / Controller</t>
        </is>
      </c>
      <c r="L144" s="13" t="inlineStr">
        <is>
          <t>P10</t>
        </is>
      </c>
      <c r="M144" s="12" t="inlineStr">
        <is>
          <t>schema/ledger.ts (ux_je_idem); ledger.service.ts; migration 0058</t>
        </is>
      </c>
      <c r="N144" s="12" t="inlineStr">
        <is>
          <t>Inspect unique index + conflict handling.</t>
        </is>
      </c>
      <c r="O144" s="12" t="inlineStr">
        <is>
          <t>Concurrent identical post → single entry.</t>
        </is>
      </c>
      <c r="P144" s="12" t="inlineStr">
        <is>
          <t>Dedup test</t>
        </is>
      </c>
      <c r="Q144" s="18" t="inlineStr">
        <is>
          <t>Implemented</t>
        </is>
      </c>
    </row>
    <row r="145">
      <c r="A145" s="15" t="inlineStr">
        <is>
          <t>GL-05</t>
        </is>
      </c>
      <c r="B145" s="16" t="inlineStr">
        <is>
          <t>General Ledger</t>
        </is>
      </c>
      <c r="C145" s="17" t="inlineStr">
        <is>
          <t>Application</t>
        </is>
      </c>
      <c r="D145" s="16" t="inlineStr">
        <is>
          <t>All</t>
        </is>
      </c>
      <c r="E145" s="16" t="inlineStr">
        <is>
          <t>Manual JE posted without independent review (override risk).</t>
        </is>
      </c>
      <c r="F145" s="16" t="inlineStr">
        <is>
          <t>Authorization</t>
        </is>
      </c>
      <c r="G145" s="16" t="inlineStr">
        <is>
          <t>Manual journal-entry maker-checker — preparer ≠ approver before a manual JE posts.</t>
        </is>
      </c>
      <c r="H145" s="17" t="inlineStr">
        <is>
          <t>Prev</t>
        </is>
      </c>
      <c r="I145" s="17" t="inlineStr">
        <is>
          <t>Auto+Manual</t>
        </is>
      </c>
      <c r="J145" s="17" t="inlineStr">
        <is>
          <t>Per manual JE</t>
        </is>
      </c>
      <c r="K145" s="16" t="inlineStr">
        <is>
          <t>Controller</t>
        </is>
      </c>
      <c r="L145" s="17" t="inlineStr">
        <is>
          <t>P10</t>
        </is>
      </c>
      <c r="M145" s="16" t="inlineStr">
        <is>
          <t>ledger.service.ts (postEntry pendingApproval→Draft; approveEntry preparer≠approver; rejectEntry); ledger.controller.ts (gl_post posts / gl_close approves); cutover/compliance.ts (ToE)</t>
        </is>
      </c>
      <c r="N145" s="16" t="inlineStr">
        <is>
          <t>Inspect JE approval routing.</t>
        </is>
      </c>
      <c r="O145" s="16" t="inlineStr">
        <is>
          <t>Sample manual JEs: approver ≠ preparer; Draft excluded from balances until approved (re-performed by the harness).</t>
        </is>
      </c>
      <c r="P145" s="16" t="inlineStr">
        <is>
          <t>JE approvals</t>
        </is>
      </c>
      <c r="Q145" s="18" t="inlineStr">
        <is>
          <t>Implemented</t>
        </is>
      </c>
    </row>
    <row r="146">
      <c r="A146" s="11" t="inlineStr">
        <is>
          <t>GL-06</t>
        </is>
      </c>
      <c r="B146" s="12" t="inlineStr">
        <is>
          <t>General Ledger</t>
        </is>
      </c>
      <c r="C146" s="13" t="inlineStr">
        <is>
          <t>Application</t>
        </is>
      </c>
      <c r="D146" s="12" t="inlineStr">
        <is>
          <t>All</t>
        </is>
      </c>
      <c r="E146" s="12" t="inlineStr">
        <is>
          <t>Operator mis-posts to another tenant's books.</t>
        </is>
      </c>
      <c r="F146" s="12" t="inlineStr">
        <is>
          <t>Validity</t>
        </is>
      </c>
      <c r="G146" s="12" t="inlineStr">
        <is>
          <t>HQ cross-tenant posting gated to Admin (explicit tenant override); others pinned to context (also RLS).</t>
        </is>
      </c>
      <c r="H146" s="13" t="inlineStr">
        <is>
          <t>Prev</t>
        </is>
      </c>
      <c r="I146" s="13" t="inlineStr">
        <is>
          <t>Automated</t>
        </is>
      </c>
      <c r="J146" s="13" t="inlineStr">
        <is>
          <t>Per JE</t>
        </is>
      </c>
      <c r="K146" s="12" t="inlineStr">
        <is>
          <t>Eng Lead</t>
        </is>
      </c>
      <c r="L146" s="13" t="inlineStr">
        <is>
          <t>P10/P11</t>
        </is>
      </c>
      <c r="M146" s="12" t="inlineStr">
        <is>
          <t>ledger.controller.ts (hqTenant)</t>
        </is>
      </c>
      <c r="N146" s="12" t="inlineStr">
        <is>
          <t>Inspect Admin gating of tenant_id.</t>
        </is>
      </c>
      <c r="O146" s="12" t="inlineStr">
        <is>
          <t>Non-Admin tenant override ignored; Admin audited.</t>
        </is>
      </c>
      <c r="P146" s="12" t="inlineStr">
        <is>
          <t>Override test</t>
        </is>
      </c>
      <c r="Q146" s="18" t="inlineStr">
        <is>
          <t>Implemented</t>
        </is>
      </c>
    </row>
    <row r="147">
      <c r="A147" s="15" t="inlineStr">
        <is>
          <t>GL-07</t>
        </is>
      </c>
      <c r="B147" s="16" t="inlineStr">
        <is>
          <t>General Ledger</t>
        </is>
      </c>
      <c r="C147" s="17" t="inlineStr">
        <is>
          <t>Application</t>
        </is>
      </c>
      <c r="D147" s="16" t="inlineStr">
        <is>
          <t>Cash</t>
        </is>
      </c>
      <c r="E147" s="16" t="inlineStr">
        <is>
          <t>Statement of cash flows mis-stated or doesn't tie to the change in cash.</t>
        </is>
      </c>
      <c r="F147" s="16" t="inlineStr">
        <is>
          <t>Accuracy/Completeness</t>
        </is>
      </c>
      <c r="G14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7" s="17" t="inlineStr">
        <is>
          <t>Det</t>
        </is>
      </c>
      <c r="I147" s="17" t="inlineStr">
        <is>
          <t>Automated</t>
        </is>
      </c>
      <c r="J147" s="17" t="inlineStr">
        <is>
          <t>Per period</t>
        </is>
      </c>
      <c r="K147" s="16" t="inlineStr">
        <is>
          <t>Controller</t>
        </is>
      </c>
      <c r="L147" s="17" t="inlineStr">
        <is>
          <t>P10</t>
        </is>
      </c>
      <c r="M147" s="16" t="inlineStr">
        <is>
          <t>ledger.service.ts (cashFlowStatement, cashFlowDirect, cashFlowForecast); ledger.controller.ts (GET cash-flow, cash-flow-direct, cash-flow-forecast); cutover/basics.ts (ToE)</t>
        </is>
      </c>
      <c r="N147" s="16" t="inlineStr">
        <is>
          <t>Inspect SCF derivation + reconciliation flag; inspect direct-method bucketing and forecast projection.</t>
        </is>
      </c>
      <c r="O147" s="16" t="inlineStr">
        <is>
          <t>Run cash-flow over a seeded period — activities tie to the movement in cash; CLOSE excluded; direct method ties to the same operating cash and Δcash; forecast buckets open AR/AP by due week (re-performed by the harness).</t>
        </is>
      </c>
      <c r="P147" s="16" t="inlineStr">
        <is>
          <t>Cash-flow reconciliation; direct-method buckets; forecast schedule</t>
        </is>
      </c>
      <c r="Q147" s="18" t="inlineStr">
        <is>
          <t>Implemented</t>
        </is>
      </c>
    </row>
    <row r="148">
      <c r="A148" s="11" t="inlineStr">
        <is>
          <t>GL-08</t>
        </is>
      </c>
      <c r="B148" s="12" t="inlineStr">
        <is>
          <t>General Ledger</t>
        </is>
      </c>
      <c r="C148" s="13" t="inlineStr">
        <is>
          <t>Application</t>
        </is>
      </c>
      <c r="D148" s="12" t="inlineStr">
        <is>
          <t>All</t>
        </is>
      </c>
      <c r="E148" s="12" t="inlineStr">
        <is>
          <t>Standing/period accruals missed, posted unbalanced, or posted without approval; manual re-keying error.</t>
        </is>
      </c>
      <c r="F148" s="12" t="inlineStr">
        <is>
          <t>Completeness/Accuracy/Authorization</t>
        </is>
      </c>
      <c r="G14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8" s="13" t="inlineStr">
        <is>
          <t>Prev</t>
        </is>
      </c>
      <c r="I148" s="13" t="inlineStr">
        <is>
          <t>Automated</t>
        </is>
      </c>
      <c r="J148" s="13" t="inlineStr">
        <is>
          <t>Per due date / per template</t>
        </is>
      </c>
      <c r="K148" s="12" t="inlineStr">
        <is>
          <t>Controller</t>
        </is>
      </c>
      <c r="L148" s="13" t="inlineStr">
        <is>
          <t>P10</t>
        </is>
      </c>
      <c r="M14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8" s="12" t="inlineStr">
        <is>
          <t>Inspect template balance validation + scheduled posting as Draft + idempotency.</t>
        </is>
      </c>
      <c r="O148" s="12" t="inlineStr">
        <is>
          <t>Unbalanced template → UNBALANCED; due template posts a Draft JE (excluded from TB) into the pending queue; re-run posts nothing; a second user approves → accrual hits the GL (re-performed by the harness).</t>
        </is>
      </c>
      <c r="P148" s="12" t="inlineStr">
        <is>
          <t>Recurring-journal templates; scheduled run log; JE approvals</t>
        </is>
      </c>
      <c r="Q148" s="18" t="inlineStr">
        <is>
          <t>Implemented</t>
        </is>
      </c>
    </row>
    <row r="149">
      <c r="A149" s="15" t="inlineStr">
        <is>
          <t>GL-09</t>
        </is>
      </c>
      <c r="B149" s="16" t="inlineStr">
        <is>
          <t>General Ledger</t>
        </is>
      </c>
      <c r="C149" s="17" t="inlineStr">
        <is>
          <t>Application</t>
        </is>
      </c>
      <c r="D149" s="16" t="inlineStr">
        <is>
          <t>Prepaid expenses; Operating expense</t>
        </is>
      </c>
      <c r="E149" s="16" t="inlineStr">
        <is>
          <t>Prepaid expense not amortized over its term — expense mis-stated, prepaid asset overstated.</t>
        </is>
      </c>
      <c r="F149" s="16" t="inlineStr">
        <is>
          <t>Accuracy/Completeness</t>
        </is>
      </c>
      <c r="G14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9" s="17" t="inlineStr">
        <is>
          <t>Det</t>
        </is>
      </c>
      <c r="I149" s="17" t="inlineStr">
        <is>
          <t>Automated</t>
        </is>
      </c>
      <c r="J149" s="17" t="inlineStr">
        <is>
          <t>Per period / per schedule</t>
        </is>
      </c>
      <c r="K149" s="16" t="inlineStr">
        <is>
          <t>Controller</t>
        </is>
      </c>
      <c r="L149" s="17" t="inlineStr">
        <is>
          <t>P10</t>
        </is>
      </c>
      <c r="M149" s="16" t="inlineStr">
        <is>
          <t>ledger.service.ts (createPrepaid, runDuePrepaid); ledger.controller.ts (gl_post); bi.service.ts (gl_prepaid_amortize); schema/ledger.ts (prepaid_schedules) + migration 0120; cutover/basics.ts (ToE)</t>
        </is>
      </c>
      <c r="N149" s="16" t="inlineStr">
        <is>
          <t>Inspect amortization slice + final-period remainder + idempotency.</t>
        </is>
      </c>
      <c r="O149" s="16" t="inlineStr">
        <is>
          <t>Register a 12-month prepaid; run amortizes 1/12 to expense; re-run posts nothing (re-performed by the harness).</t>
        </is>
      </c>
      <c r="P149" s="16" t="inlineStr">
        <is>
          <t>Prepaid schedules; amortization run log</t>
        </is>
      </c>
      <c r="Q149" s="18" t="inlineStr">
        <is>
          <t>Implemented</t>
        </is>
      </c>
    </row>
    <row r="150">
      <c r="A150" s="11" t="inlineStr">
        <is>
          <t>GL-10</t>
        </is>
      </c>
      <c r="B150" s="12" t="inlineStr">
        <is>
          <t>General Ledger</t>
        </is>
      </c>
      <c r="C150" s="13" t="inlineStr">
        <is>
          <t>Application</t>
        </is>
      </c>
      <c r="D150" s="12" t="inlineStr">
        <is>
          <t>All</t>
        </is>
      </c>
      <c r="E15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0" s="12" t="inlineStr">
        <is>
          <t>Completeness/Accuracy/Presentation</t>
        </is>
      </c>
      <c r="G15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0" s="13" t="inlineStr">
        <is>
          <t>Prev</t>
        </is>
      </c>
      <c r="I150" s="13" t="inlineStr">
        <is>
          <t>Automated</t>
        </is>
      </c>
      <c r="J150" s="13" t="inlineStr">
        <is>
          <t>At company creation / per pack adopt</t>
        </is>
      </c>
      <c r="K150" s="12" t="inlineStr">
        <is>
          <t>Controller</t>
        </is>
      </c>
      <c r="L150" s="13" t="inlineStr">
        <is>
          <t>P10</t>
        </is>
      </c>
      <c r="M15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0" s="12" t="inlineStr">
        <is>
          <t>Inspect the boot subset assertion + signup provisioning + the overlay-is-presentation-only read path.</t>
        </is>
      </c>
      <c r="O15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0" s="12" t="inlineStr">
        <is>
          <t>Industry templates; tenant_accounts overlay; signup provisioning log</t>
        </is>
      </c>
      <c r="Q150" s="18" t="inlineStr">
        <is>
          <t>Implemented</t>
        </is>
      </c>
    </row>
    <row r="151">
      <c r="A151" s="15" t="inlineStr">
        <is>
          <t>GL-11</t>
        </is>
      </c>
      <c r="B151" s="16" t="inlineStr">
        <is>
          <t>General Ledger</t>
        </is>
      </c>
      <c r="C151" s="17" t="inlineStr">
        <is>
          <t>Application</t>
        </is>
      </c>
      <c r="D151" s="16" t="inlineStr">
        <is>
          <t>All</t>
        </is>
      </c>
      <c r="E15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1" s="16" t="inlineStr">
        <is>
          <t>Authorization/Completeness/Accuracy</t>
        </is>
      </c>
      <c r="G15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1" s="17" t="inlineStr">
        <is>
          <t>Prev</t>
        </is>
      </c>
      <c r="I151" s="17" t="inlineStr">
        <is>
          <t>Automated</t>
        </is>
      </c>
      <c r="J151" s="17" t="inlineStr">
        <is>
          <t>Event-driven</t>
        </is>
      </c>
      <c r="K151" s="16" t="inlineStr">
        <is>
          <t>Financial Controller / Platform Admin</t>
        </is>
      </c>
      <c r="L151" s="17" t="inlineStr">
        <is>
          <t>P10</t>
        </is>
      </c>
      <c r="M15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1" s="16" t="inlineStr">
        <is>
          <t>Inspect the Admin/HQ gate on canonical writes (COA_ADMIN_ONLY), the RLS-scoped overlay curation, and the CODE_HAS_POSTINGS / ACCOUNT_HAS_BALANCE / CONTROL_ACCOUNT guards.</t>
        </is>
      </c>
      <c r="O15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1" s="16" t="inlineStr">
        <is>
          <t>CoA change log (audit_log); compliance GL-11 ToE; control-account guard test</t>
        </is>
      </c>
      <c r="Q151" s="18" t="inlineStr">
        <is>
          <t>Implemented</t>
        </is>
      </c>
    </row>
    <row r="152">
      <c r="A152" s="11" t="inlineStr">
        <is>
          <t>GL-12</t>
        </is>
      </c>
      <c r="B152" s="12" t="inlineStr">
        <is>
          <t>General Ledger</t>
        </is>
      </c>
      <c r="C152" s="13" t="inlineStr">
        <is>
          <t>Application</t>
        </is>
      </c>
      <c r="D152" s="12" t="inlineStr">
        <is>
          <t>All</t>
        </is>
      </c>
      <c r="E152" s="12" t="inlineStr">
        <is>
          <t>Account-assignment errors introduced by scattered inline account-code literals in service code; a tenant needing a different account for a given business event has no mechanism to override without a code change.</t>
        </is>
      </c>
      <c r="F152" s="12" t="inlineStr">
        <is>
          <t>Authorization/Accuracy</t>
        </is>
      </c>
      <c r="G15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2" s="13" t="inlineStr">
        <is>
          <t>Prev</t>
        </is>
      </c>
      <c r="I152" s="13" t="inlineStr">
        <is>
          <t>Automated</t>
        </is>
      </c>
      <c r="J152" s="13" t="inlineStr">
        <is>
          <t>Event-driven</t>
        </is>
      </c>
      <c r="K152" s="12" t="inlineStr">
        <is>
          <t>Financial Controller</t>
        </is>
      </c>
      <c r="L152" s="13" t="inlineStr">
        <is>
          <t>P10</t>
        </is>
      </c>
      <c r="M15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2" s="12" t="inlineStr">
        <is>
          <t>Inspect the rule-resolution logic + NO_POSTING_RULE fast-fail + tenant-shadow logic + gl_posting_rules permission gate.</t>
        </is>
      </c>
      <c r="O15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2" s="12" t="inlineStr">
        <is>
          <t>Posting-rule change log; preview dry-run; harness golden snapshot</t>
        </is>
      </c>
      <c r="Q152" s="18" t="inlineStr">
        <is>
          <t>Implemented</t>
        </is>
      </c>
    </row>
    <row r="153">
      <c r="A153" s="15" t="inlineStr">
        <is>
          <t>GL-13</t>
        </is>
      </c>
      <c r="B153" s="16" t="inlineStr">
        <is>
          <t>General Ledger</t>
        </is>
      </c>
      <c r="C153" s="17" t="inlineStr">
        <is>
          <t>Application</t>
        </is>
      </c>
      <c r="D153" s="16" t="inlineStr">
        <is>
          <t>All</t>
        </is>
      </c>
      <c r="E153" s="16" t="inlineStr">
        <is>
          <t>Revenue or expense mis-attributed to the wrong branch / project — per-location P&amp;L is unintelligible or misleading.</t>
        </is>
      </c>
      <c r="F153" s="16" t="inlineStr">
        <is>
          <t>Accuracy/Presentation</t>
        </is>
      </c>
      <c r="G15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3" s="17" t="inlineStr">
        <is>
          <t>Det</t>
        </is>
      </c>
      <c r="I153" s="17" t="inlineStr">
        <is>
          <t>Automated</t>
        </is>
      </c>
      <c r="J153" s="17" t="inlineStr">
        <is>
          <t>Per period</t>
        </is>
      </c>
      <c r="K153" s="16" t="inlineStr">
        <is>
          <t>Controller</t>
        </is>
      </c>
      <c r="L153" s="17" t="inlineStr">
        <is>
          <t>P10</t>
        </is>
      </c>
      <c r="M15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3" s="16" t="inlineStr">
        <is>
          <t>Inspect by-branch query + PostingContext stamping + department RLS.</t>
        </is>
      </c>
      <c r="O153" s="16" t="inlineStr">
        <is>
          <t>TC-GL-13-01/02/03: smoke + two branches + unassigned bucket (re-performed by the basics.ts harness).</t>
        </is>
      </c>
      <c r="P153" s="16" t="inlineStr">
        <is>
          <t>By-branch P&amp;L report; dimension completeness</t>
        </is>
      </c>
      <c r="Q153" s="18" t="inlineStr">
        <is>
          <t>Implemented</t>
        </is>
      </c>
    </row>
    <row r="154">
      <c r="A154" s="11" t="inlineStr">
        <is>
          <t>GL-14</t>
        </is>
      </c>
      <c r="B154" s="12" t="inlineStr">
        <is>
          <t>General Ledger</t>
        </is>
      </c>
      <c r="C154" s="13" t="inlineStr">
        <is>
          <t>Application</t>
        </is>
      </c>
      <c r="D154" s="12" t="inlineStr">
        <is>
          <t>All</t>
        </is>
      </c>
      <c r="E154" s="12" t="inlineStr">
        <is>
          <t>GL control-account balances (AR/AP/INV/FA) drift from the underlying sub-ledger detail without detection — the control account no longer represents the sum of its sub-ledger, masking posting errors, unrecorded items, or fraud.</t>
        </is>
      </c>
      <c r="F154" s="12" t="inlineStr">
        <is>
          <t>Completeness/Accuracy/Valuation</t>
        </is>
      </c>
      <c r="G15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4" s="13" t="inlineStr">
        <is>
          <t>Det</t>
        </is>
      </c>
      <c r="I154" s="13" t="inlineStr">
        <is>
          <t>Automated</t>
        </is>
      </c>
      <c r="J154" s="13" t="inlineStr">
        <is>
          <t>Monthly</t>
        </is>
      </c>
      <c r="K154" s="12" t="inlineStr">
        <is>
          <t>Financial Controller</t>
        </is>
      </c>
      <c r="L154" s="13" t="inlineStr">
        <is>
          <t>P10</t>
        </is>
      </c>
      <c r="M15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4" s="12" t="inlineStr">
        <is>
          <t>Inspect the GL-vs-sub-ledger balance computation + variance/status + SELF_CERTIFY maker-checker gate + gl_close certify permission.</t>
        </is>
      </c>
      <c r="O154" s="12" t="inlineStr">
        <is>
          <t>TC-GL-14-01: run AR tie-out → balances + Matched/Variance; TC-GL-14-02: self-certify by the runner → SELF_CERTIFY (400); TC-GL-14-03: certify by a different gl_close user → Certified (re-performed by the basics.ts harness).</t>
        </is>
      </c>
      <c r="P154" s="12" t="inlineStr">
        <is>
          <t>Tie-out run log (subledger_tieout_runs) with variance + certification trail; monthly reconciliation sign-off</t>
        </is>
      </c>
      <c r="Q154" s="18" t="inlineStr">
        <is>
          <t>Implemented</t>
        </is>
      </c>
    </row>
    <row r="155">
      <c r="A155" s="15" t="inlineStr">
        <is>
          <t>GL-15</t>
        </is>
      </c>
      <c r="B155" s="16" t="inlineStr">
        <is>
          <t>General Ledger</t>
        </is>
      </c>
      <c r="C155" s="17" t="inlineStr">
        <is>
          <t>Application</t>
        </is>
      </c>
      <c r="D155" s="16" t="inlineStr">
        <is>
          <t>All</t>
        </is>
      </c>
      <c r="E15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5" s="16" t="inlineStr">
        <is>
          <t>Completeness/Accuracy/Cutoff</t>
        </is>
      </c>
      <c r="G15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5" s="17" t="inlineStr">
        <is>
          <t>Prev</t>
        </is>
      </c>
      <c r="I155" s="17" t="inlineStr">
        <is>
          <t>Automated</t>
        </is>
      </c>
      <c r="J155" s="17" t="inlineStr">
        <is>
          <t>Monthly</t>
        </is>
      </c>
      <c r="K155" s="16" t="inlineStr">
        <is>
          <t>Financial Controller</t>
        </is>
      </c>
      <c r="L155" s="17" t="inlineStr">
        <is>
          <t>P10</t>
        </is>
      </c>
      <c r="M15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5" s="16" t="inlineStr">
        <is>
          <t>Inspect the seeded checklist + ReadyToLock gating + STEPS_INCOMPLETE lock rejection + PERIOD_LOCKED hard gate in postEntry (incl. the CLOSE exemption).</t>
        </is>
      </c>
      <c r="O155" s="16" t="inlineStr">
        <is>
          <t>TC-GL-15-01: start close seeds ≥4 steps (InProgress); TC-GL-15-02: lock before steps done → STEPS_INCOMPLETE (400); TC-GL-15-03: post into locked period → PERIOD_LOCKED (400) (re-performed by the basics.ts harness).</t>
        </is>
      </c>
      <c r="P155" s="16" t="inlineStr">
        <is>
          <t>close_runs / close_run_steps with completion trail; fiscal_periods.status=Locked; monthly close sign-off</t>
        </is>
      </c>
      <c r="Q155" s="18" t="inlineStr">
        <is>
          <t>Implemented</t>
        </is>
      </c>
    </row>
    <row r="156">
      <c r="A156" s="11" t="inlineStr">
        <is>
          <t>GL-16</t>
        </is>
      </c>
      <c r="B156" s="12" t="inlineStr">
        <is>
          <t>General Ledger</t>
        </is>
      </c>
      <c r="C156" s="13" t="inlineStr">
        <is>
          <t>Application</t>
        </is>
      </c>
      <c r="D156" s="12" t="inlineStr">
        <is>
          <t>All</t>
        </is>
      </c>
      <c r="E156" s="12" t="inlineStr">
        <is>
          <t>One person both performs the close and locks the period, defeating segregation of duties — a preparer could conceal a misstatement by closing over their own work without independent review.</t>
        </is>
      </c>
      <c r="F156" s="12" t="inlineStr">
        <is>
          <t>Authorization/Segregation of Duties</t>
        </is>
      </c>
      <c r="G15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6" s="13" t="inlineStr">
        <is>
          <t>Prev</t>
        </is>
      </c>
      <c r="I156" s="13" t="inlineStr">
        <is>
          <t>Automated</t>
        </is>
      </c>
      <c r="J156" s="13" t="inlineStr">
        <is>
          <t>Monthly</t>
        </is>
      </c>
      <c r="K156" s="12" t="inlineStr">
        <is>
          <t>Financial Controller</t>
        </is>
      </c>
      <c r="L156" s="13" t="inlineStr">
        <is>
          <t>P10</t>
        </is>
      </c>
      <c r="M15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6" s="12" t="inlineStr">
        <is>
          <t>Inspect the SELF_LOCK gate (startedBy ≠ lockedBy) + the started_by/locked_by/locked_at evidence trail.</t>
        </is>
      </c>
      <c r="O156" s="12" t="inlineStr">
        <is>
          <t>TC-GL-16-01: self-lock by the starter → SELF_LOCK (400); TC-GL-16-02: lock by a different gl_close user → Locked, locked_by recorded (re-performed by the basics.ts harness).</t>
        </is>
      </c>
      <c r="P156" s="12" t="inlineStr">
        <is>
          <t>close_runs.started_by / locked_by / locked_at SoD trail; monthly close sign-off</t>
        </is>
      </c>
      <c r="Q156" s="18" t="inlineStr">
        <is>
          <t>Implemented</t>
        </is>
      </c>
    </row>
    <row r="157">
      <c r="A157" s="15" t="inlineStr">
        <is>
          <t>GL-17</t>
        </is>
      </c>
      <c r="B157" s="16" t="inlineStr">
        <is>
          <t>General Ledger</t>
        </is>
      </c>
      <c r="C157" s="17" t="inlineStr">
        <is>
          <t>Application</t>
        </is>
      </c>
      <c r="D157" s="16" t="inlineStr">
        <is>
          <t>All</t>
        </is>
      </c>
      <c r="E15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7" s="16" t="inlineStr">
        <is>
          <t>Completeness/Accuracy/Authorization</t>
        </is>
      </c>
      <c r="G15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7" s="17" t="inlineStr">
        <is>
          <t>Prev</t>
        </is>
      </c>
      <c r="I157" s="17" t="inlineStr">
        <is>
          <t>Automated</t>
        </is>
      </c>
      <c r="J157" s="17" t="inlineStr">
        <is>
          <t>Per entry / continuous</t>
        </is>
      </c>
      <c r="K157" s="16" t="inlineStr">
        <is>
          <t>Financial Controller</t>
        </is>
      </c>
      <c r="L157" s="17" t="inlineStr">
        <is>
          <t>P10</t>
        </is>
      </c>
      <c r="M15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7" s="16" t="inlineStr">
        <is>
          <t>Inspect the DB immutability trigger + the app GL_IMMUTABLE guard + the reversal contra-posting (swapped Dr/Cr, reversal_of, is_reversed) + the gl_audit_log trail (POST/APPROVE/REVERSE/MUTATE_BLOCKED).</t>
        </is>
      </c>
      <c r="O15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7" s="16" t="inlineStr">
        <is>
          <t>gl_audit_log trail (POST/APPROVE/REVERSE/MUTATE_BLOCKED); reversal entries with reversal_of linkage; posted-entry immutability</t>
        </is>
      </c>
      <c r="Q157" s="18" t="inlineStr">
        <is>
          <t>Implemented</t>
        </is>
      </c>
    </row>
    <row r="158">
      <c r="A158" s="11" t="inlineStr">
        <is>
          <t>GL-18</t>
        </is>
      </c>
      <c r="B158" s="12" t="inlineStr">
        <is>
          <t>General Ledger</t>
        </is>
      </c>
      <c r="C158" s="13" t="inlineStr">
        <is>
          <t>Application</t>
        </is>
      </c>
      <c r="D158" s="12" t="inlineStr">
        <is>
          <t>Accounts Receivable (1100); Accounts Payable (2000); FX Gain/Loss (5400)</t>
        </is>
      </c>
      <c r="E15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8" s="12" t="inlineStr">
        <is>
          <t>Accuracy/Valuation/Authorization/Segregation of Duties</t>
        </is>
      </c>
      <c r="G15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8" s="13" t="inlineStr">
        <is>
          <t>Prev</t>
        </is>
      </c>
      <c r="I158" s="13" t="inlineStr">
        <is>
          <t>Automated</t>
        </is>
      </c>
      <c r="J158" s="13" t="inlineStr">
        <is>
          <t>Monthly / period-end</t>
        </is>
      </c>
      <c r="K158" s="12" t="inlineStr">
        <is>
          <t>Financial Controller</t>
        </is>
      </c>
      <c r="L158" s="13" t="inlineStr">
        <is>
          <t>P10</t>
        </is>
      </c>
      <c r="M15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8" s="12" t="inlineStr">
        <is>
          <t>Inspect the run→post lifecycle, the rate resolution (explicit/approved-only/MISSING_RATE), the SELF_POST maker-checker, and the 5400/1100/2000 posting through the period-lock gate.</t>
        </is>
      </c>
      <c r="O158" s="12" t="inlineStr">
        <is>
          <t>TC-GL-18-01: run on an open foreign AR+AP → net unrealized gain/loss with per-doc detail (Open); TC-GL-18-02: runner self-post → SELF_POST (403), a different user posts → 5400 movement, re-post → ALREADY_POSTED (400) (re-performed by the basics.ts harness).</t>
        </is>
      </c>
      <c r="P158" s="12" t="inlineStr">
        <is>
          <t>fx_reval_runs register (Open→Posted, runner/poster); the FXREVAL-RUN JE to 5400; period-end reval sign-off</t>
        </is>
      </c>
      <c r="Q158" s="18" t="inlineStr">
        <is>
          <t>Implemented</t>
        </is>
      </c>
    </row>
    <row r="159">
      <c r="A159" s="15" t="inlineStr">
        <is>
          <t>GL-19</t>
        </is>
      </c>
      <c r="B159" s="16" t="inlineStr">
        <is>
          <t>General Ledger</t>
        </is>
      </c>
      <c r="C159" s="17" t="inlineStr">
        <is>
          <t>Detective</t>
        </is>
      </c>
      <c r="D159" s="16" t="inlineStr">
        <is>
          <t>All</t>
        </is>
      </c>
      <c r="E15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9" s="16" t="inlineStr">
        <is>
          <t>Completeness/Accuracy</t>
        </is>
      </c>
      <c r="G15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9" s="17" t="inlineStr">
        <is>
          <t>Det</t>
        </is>
      </c>
      <c r="I159" s="17" t="inlineStr">
        <is>
          <t>Automated</t>
        </is>
      </c>
      <c r="J159" s="17" t="inlineStr">
        <is>
          <t>Pre-lock / period-end</t>
        </is>
      </c>
      <c r="K159" s="16" t="inlineStr">
        <is>
          <t>Financial Controller</t>
        </is>
      </c>
      <c r="L159" s="17" t="inlineStr">
        <is>
          <t>P10</t>
        </is>
      </c>
      <c r="M15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9" s="16" t="inlineStr">
        <is>
          <t>Inspect the four readiness checks (unposted_drafts, period_balanced, unbalanced_entries, suspense_clearing) and that a draft in the period sets ready=false with the unposted_drafts blocker.</t>
        </is>
      </c>
      <c r="O159" s="16" t="inlineStr">
        <is>
          <t>TC-GL-19-CLOSE-01: validate a clean past period → ready=true, no blockers, drafts/balance checks ok; TC-GL-19-CLOSE-02: a manual JE (posts as Draft, GL-05) in the period → ready=false, unposted_drafts blocker count ≥ 1 (re-performed by the basics.ts harness).</t>
        </is>
      </c>
      <c r="P159" s="16" t="inlineStr">
        <is>
          <t>close-validate readiness report (ready/blockers/warnings + per-check detail)</t>
        </is>
      </c>
      <c r="Q159" s="18" t="inlineStr">
        <is>
          <t>Implemented</t>
        </is>
      </c>
    </row>
    <row r="160">
      <c r="A160" s="11" t="inlineStr">
        <is>
          <t>GL-20</t>
        </is>
      </c>
      <c r="B160" s="12" t="inlineStr">
        <is>
          <t>General Ledger</t>
        </is>
      </c>
      <c r="C160" s="13" t="inlineStr">
        <is>
          <t>Detective</t>
        </is>
      </c>
      <c r="D160" s="12" t="inlineStr">
        <is>
          <t>All</t>
        </is>
      </c>
      <c r="E16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0" s="12" t="inlineStr">
        <is>
          <t>Completeness/Accuracy</t>
        </is>
      </c>
      <c r="G16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0" s="13" t="inlineStr">
        <is>
          <t>Det</t>
        </is>
      </c>
      <c r="I160" s="13" t="inlineStr">
        <is>
          <t>Automated</t>
        </is>
      </c>
      <c r="J160" s="13" t="inlineStr">
        <is>
          <t>Per close</t>
        </is>
      </c>
      <c r="K160" s="12" t="inlineStr">
        <is>
          <t>Financial Controller</t>
        </is>
      </c>
      <c r="L160" s="13" t="inlineStr">
        <is>
          <t>P17</t>
        </is>
      </c>
      <c r="M160" s="12" t="inlineStr">
        <is>
          <t>ledger.service.ts bumpPeriodBalances (transactional maintenance) + trialBalance (snapshot read); close.service.ts validate gl_snapshot_drift; drizzle/0219_gl_period_balances.sql (table + unique key + backfill); cutover/basics.ts TC-GL-20 (ToE)</t>
        </is>
      </c>
      <c r="N160" s="12" t="inlineStr">
        <is>
          <t>Inspect that the snapshot write shares the posting transaction and that validate compares snapshot vs raw per account.</t>
        </is>
      </c>
      <c r="O160" s="12" t="inlineStr">
        <is>
          <t>Re-perform: clean period → gl_snapshot_drift ok; INSERT a bogus snapshot row → validate ready=false with the account named; rebuild → clear (basics harness TC-GL-20).</t>
        </is>
      </c>
      <c r="P160" s="12" t="inlineStr">
        <is>
          <t>Snapshot-reconciliation ToE (basics)</t>
        </is>
      </c>
      <c r="Q160" s="18" t="inlineStr">
        <is>
          <t>Implemented</t>
        </is>
      </c>
    </row>
    <row r="161">
      <c r="A161" s="15" t="inlineStr">
        <is>
          <t>GL-21</t>
        </is>
      </c>
      <c r="B161" s="16" t="inlineStr">
        <is>
          <t>General Ledger</t>
        </is>
      </c>
      <c r="C161" s="17" t="inlineStr">
        <is>
          <t>Application</t>
        </is>
      </c>
      <c r="D161" s="16" t="inlineStr">
        <is>
          <t>Inventory; COGS; Revenue</t>
        </is>
      </c>
      <c r="E16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1" s="16" t="inlineStr">
        <is>
          <t>Accuracy/Completeness/Valuation</t>
        </is>
      </c>
      <c r="G16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1" s="17" t="inlineStr">
        <is>
          <t>Prev</t>
        </is>
      </c>
      <c r="I161" s="17" t="inlineStr">
        <is>
          <t>Automated</t>
        </is>
      </c>
      <c r="J161" s="17" t="inlineStr">
        <is>
          <t>Event-driven / per item</t>
        </is>
      </c>
      <c r="K161" s="16" t="inlineStr">
        <is>
          <t>Financial Controller</t>
        </is>
      </c>
      <c r="L161" s="17" t="inlineStr">
        <is>
          <t>P10</t>
        </is>
      </c>
      <c r="M16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1" s="16" t="inlineStr">
        <is>
          <t>Inspect the item→category→literal precedence, the OFF-by-default parity, the postable-account fail-closed guard, and that reconcile sums the full inventory-account set.</t>
        </is>
      </c>
      <c r="O16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1" s="16" t="inlineStr">
        <is>
          <t>Feature-flag state + posting-rule/override config; harness ToE (basics GL-21)</t>
        </is>
      </c>
      <c r="Q161" s="18" t="inlineStr">
        <is>
          <t>Implemented</t>
        </is>
      </c>
    </row>
    <row r="162">
      <c r="A162" s="11" t="inlineStr">
        <is>
          <t>GL-22</t>
        </is>
      </c>
      <c r="B162" s="12" t="inlineStr">
        <is>
          <t>General Ledger</t>
        </is>
      </c>
      <c r="C162" s="13" t="inlineStr">
        <is>
          <t>Detective</t>
        </is>
      </c>
      <c r="D162" s="12" t="inlineStr">
        <is>
          <t>All</t>
        </is>
      </c>
      <c r="E16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2" s="12" t="inlineStr">
        <is>
          <t>Completeness/Accuracy</t>
        </is>
      </c>
      <c r="G16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2" s="13" t="inlineStr">
        <is>
          <t>Det</t>
        </is>
      </c>
      <c r="I162" s="13" t="inlineStr">
        <is>
          <t>Hybrid</t>
        </is>
      </c>
      <c r="J162" s="13" t="inlineStr">
        <is>
          <t>Per period-close</t>
        </is>
      </c>
      <c r="K162" s="12" t="inlineStr">
        <is>
          <t>Financial Controller</t>
        </is>
      </c>
      <c r="L162" s="13" t="inlineStr">
        <is>
          <t>P16</t>
        </is>
      </c>
      <c r="M16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2" s="12" t="inlineStr">
        <is>
          <t>Inspect the cockpit: the tie-out rows (sub-ledger vs GL control + variance), the readiness checks, the pending-approval ageing, and that the overall RAG turns red on any break.</t>
        </is>
      </c>
      <c r="O16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2" s="12" t="inlineStr">
        <is>
          <t>Close-readiness cockpit (finance/metrics/close/status); harness ToE (finance-kpi)</t>
        </is>
      </c>
      <c r="Q162" s="18" t="inlineStr">
        <is>
          <t>Implemented</t>
        </is>
      </c>
    </row>
    <row r="163">
      <c r="A163" s="15" t="inlineStr">
        <is>
          <t>EXP-07</t>
        </is>
      </c>
      <c r="B163" s="16" t="inlineStr">
        <is>
          <t>Expenditure</t>
        </is>
      </c>
      <c r="C163" s="17" t="inlineStr">
        <is>
          <t>Application</t>
        </is>
      </c>
      <c r="D163" s="16" t="inlineStr">
        <is>
          <t>Cash; Operating expense</t>
        </is>
      </c>
      <c r="E163" s="16" t="inlineStr">
        <is>
          <t>Petty-cash / employee advance issued but never accounted for — cash leakage, expense unrecorded.</t>
        </is>
      </c>
      <c r="F163" s="16" t="inlineStr">
        <is>
          <t>Existence/Completeness</t>
        </is>
      </c>
      <c r="G16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3" s="17" t="inlineStr">
        <is>
          <t>Det</t>
        </is>
      </c>
      <c r="I163" s="17" t="inlineStr">
        <is>
          <t>Automated</t>
        </is>
      </c>
      <c r="J163" s="17" t="inlineStr">
        <is>
          <t>Per advance</t>
        </is>
      </c>
      <c r="K163" s="16" t="inlineStr">
        <is>
          <t>AP / Controller</t>
        </is>
      </c>
      <c r="L163" s="17" t="inlineStr">
        <is>
          <t>P10</t>
        </is>
      </c>
      <c r="M163" s="16" t="inlineStr">
        <is>
          <t>finance.service.ts (issueAdvance, settleAdvance reconcile-or-reject, listAdvances outstanding); finance.controller.ts (creditors/exec); schema/finance.ts (employee_advances) + migration 0120; cutover/basics.ts (ToE)</t>
        </is>
      </c>
      <c r="N163" s="16" t="inlineStr">
        <is>
          <t>Inspect issue/settle GL + settlement reconciliation guard.</t>
        </is>
      </c>
      <c r="O163" s="16" t="inlineStr">
        <is>
          <t>Issue an advance (1180 up); settle 700+300 clears 1180; mismatched settle → SETTLE_MISMATCH (re-performed by the harness).</t>
        </is>
      </c>
      <c r="P163" s="16" t="inlineStr">
        <is>
          <t>Advance register; outstanding float</t>
        </is>
      </c>
      <c r="Q163" s="18" t="inlineStr">
        <is>
          <t>Implemented</t>
        </is>
      </c>
    </row>
    <row r="164">
      <c r="A164" s="11" t="inlineStr">
        <is>
          <t>EXP-08</t>
        </is>
      </c>
      <c r="B164" s="12" t="inlineStr">
        <is>
          <t>Expenditure</t>
        </is>
      </c>
      <c r="C164" s="13" t="inlineStr">
        <is>
          <t>Application</t>
        </is>
      </c>
      <c r="D164" s="12" t="inlineStr">
        <is>
          <t>Cash; Operating expense</t>
        </is>
      </c>
      <c r="E164" s="12" t="inlineStr">
        <is>
          <t>Petty-cash disbursed beyond authority / without independent review, or drawn past the fund's limit — cash leakage, unauthorised or unrecorded expense, over-extended float.</t>
        </is>
      </c>
      <c r="F164" s="12" t="inlineStr">
        <is>
          <t>Authorization; Completeness</t>
        </is>
      </c>
      <c r="G16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4" s="13" t="inlineStr">
        <is>
          <t>Prev</t>
        </is>
      </c>
      <c r="I164" s="13" t="inlineStr">
        <is>
          <t>Automated</t>
        </is>
      </c>
      <c r="J164" s="13" t="inlineStr">
        <is>
          <t>Per disbursement</t>
        </is>
      </c>
      <c r="K164" s="12" t="inlineStr">
        <is>
          <t>AP / Controller</t>
        </is>
      </c>
      <c r="L164" s="13" t="inlineStr">
        <is>
          <t>P10</t>
        </is>
      </c>
      <c r="M16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4" s="12" t="inlineStr">
        <is>
          <t>Inspect the float ceiling + the request→approve flow + the approver≠requester check + that the request posts nothing until approval.</t>
        </is>
      </c>
      <c r="O16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4" s="12" t="inlineStr">
        <is>
          <t>Fund register + disbursement approval log + SoD test</t>
        </is>
      </c>
      <c r="Q164" s="18" t="inlineStr">
        <is>
          <t>Implemented</t>
        </is>
      </c>
    </row>
    <row r="165">
      <c r="A165" s="15" t="inlineStr">
        <is>
          <t>EXP-09</t>
        </is>
      </c>
      <c r="B165" s="16" t="inlineStr">
        <is>
          <t>Expenditure</t>
        </is>
      </c>
      <c r="C165" s="17" t="inlineStr">
        <is>
          <t>Application</t>
        </is>
      </c>
      <c r="D165" s="16" t="inlineStr">
        <is>
          <t>Accounts Payable; Cash</t>
        </is>
      </c>
      <c r="E16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5" s="16" t="inlineStr">
        <is>
          <t>Occurrence/Accuracy/Authorization</t>
        </is>
      </c>
      <c r="G16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5" s="17" t="inlineStr">
        <is>
          <t>Prev</t>
        </is>
      </c>
      <c r="I165" s="17" t="inlineStr">
        <is>
          <t>Automated</t>
        </is>
      </c>
      <c r="J165" s="17" t="inlineStr">
        <is>
          <t>Per payment</t>
        </is>
      </c>
      <c r="K165" s="16" t="inlineStr">
        <is>
          <t>AP / Controller</t>
        </is>
      </c>
      <c r="L165" s="17" t="inlineStr">
        <is>
          <t>P10</t>
        </is>
      </c>
      <c r="M165" s="16" t="inlineStr">
        <is>
          <t>finance.service.ts (requestApPayment → matchSvc.assertPayable); match/three-way-match.service.ts (assertPayable fail-open for non-PO, blocks not-payable &amp; not-overridden); finance.controller.ts (ap/transactions/:txnNo/pay); cutover/match.ts (ToE)</t>
        </is>
      </c>
      <c r="N165" s="16" t="inlineStr">
        <is>
          <t>Inspect that the AP-pay request consults assertPayable and that a non-PO bill is exempt while a failed PO invoice is blocked.</t>
        </is>
      </c>
      <c r="O165" s="16" t="inlineStr">
        <is>
          <t>Re-perform: a PO invoice with a qty/price variance over tolerance → pay request MATCH_BLOCKED; an independently-overridden / matched invoice → pay succeeds; a non-PO bill pays unblocked (re-performed by the match harness).</t>
        </is>
      </c>
      <c r="P165" s="16" t="inlineStr">
        <is>
          <t>Blocked-invoice worklist; payment-gate test</t>
        </is>
      </c>
      <c r="Q165" s="18" t="inlineStr">
        <is>
          <t>Implemented</t>
        </is>
      </c>
    </row>
    <row r="166">
      <c r="A166" s="11" t="inlineStr">
        <is>
          <t>EXP-10</t>
        </is>
      </c>
      <c r="B166" s="12" t="inlineStr">
        <is>
          <t>Expenditure</t>
        </is>
      </c>
      <c r="C166" s="13" t="inlineStr">
        <is>
          <t>Application</t>
        </is>
      </c>
      <c r="D166" s="12" t="inlineStr">
        <is>
          <t>Accounts Payable</t>
        </is>
      </c>
      <c r="E166" s="12" t="inlineStr">
        <is>
          <t>A scanned/keyed vendor invoice is booked against the wrong PO (or twice under the same invoice number), or an intake bill bypasses the 3-way match — a mis-mapped or duplicate document becomes a payable and cash is disbursed for it.</t>
        </is>
      </c>
      <c r="F166" s="12" t="inlineStr">
        <is>
          <t>Occurrence/Validity/Accuracy</t>
        </is>
      </c>
      <c r="G16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6" s="13" t="inlineStr">
        <is>
          <t>Prev</t>
        </is>
      </c>
      <c r="I166" s="13" t="inlineStr">
        <is>
          <t>Automated</t>
        </is>
      </c>
      <c r="J166" s="13" t="inlineStr">
        <is>
          <t>Per invoice</t>
        </is>
      </c>
      <c r="K166" s="12" t="inlineStr">
        <is>
          <t>AP / Procurement</t>
        </is>
      </c>
      <c r="L166" s="13" t="inlineStr">
        <is>
          <t>P17</t>
        </is>
      </c>
      <c r="M16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6" s="12" t="inlineStr">
        <is>
          <t>Inspect the mapper's ambiguity/duplicate handling and that posting always runs the match for a PO-mapped intake.</t>
        </is>
      </c>
      <c r="O16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6" s="12" t="inlineStr">
        <is>
          <t>Intake worklist; duplicate/cumulative guard tests</t>
        </is>
      </c>
      <c r="Q166" s="18" t="inlineStr">
        <is>
          <t>Implemented</t>
        </is>
      </c>
    </row>
    <row r="167">
      <c r="A167" s="15" t="inlineStr">
        <is>
          <t>EXP-11</t>
        </is>
      </c>
      <c r="B167" s="16" t="inlineStr">
        <is>
          <t>Expenditure</t>
        </is>
      </c>
      <c r="C167" s="17" t="inlineStr">
        <is>
          <t>Application</t>
        </is>
      </c>
      <c r="D167" s="16" t="inlineStr">
        <is>
          <t>Accounts Payable; Vendor Master</t>
        </is>
      </c>
      <c r="E16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7" s="16" t="inlineStr">
        <is>
          <t>Authorization</t>
        </is>
      </c>
      <c r="G16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7" s="17" t="inlineStr">
        <is>
          <t>Prev</t>
        </is>
      </c>
      <c r="I167" s="17" t="inlineStr">
        <is>
          <t>Auto+Manual</t>
        </is>
      </c>
      <c r="J167" s="17" t="inlineStr">
        <is>
          <t>Per change</t>
        </is>
      </c>
      <c r="K167" s="16" t="inlineStr">
        <is>
          <t>Procurement / Controller</t>
        </is>
      </c>
      <c r="L167" s="17" t="inlineStr">
        <is>
          <t>P10</t>
        </is>
      </c>
      <c r="M16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7" s="16" t="inlineStr">
        <is>
          <t>Inspect the stage→approve routing + the approver≠requester guard + that vendors only changes on approval.</t>
        </is>
      </c>
      <c r="O16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7" s="16" t="inlineStr">
        <is>
          <t>Vendor bank-change approval log</t>
        </is>
      </c>
      <c r="Q167" s="18" t="inlineStr">
        <is>
          <t>Implemented</t>
        </is>
      </c>
    </row>
    <row r="168">
      <c r="A168" s="11" t="inlineStr">
        <is>
          <t>EXP-12</t>
        </is>
      </c>
      <c r="B168" s="12" t="inlineStr">
        <is>
          <t>Expenditure</t>
        </is>
      </c>
      <c r="C168" s="13" t="inlineStr">
        <is>
          <t>Application</t>
        </is>
      </c>
      <c r="D168" s="12" t="inlineStr">
        <is>
          <t>Inventory; Accounts Payable</t>
        </is>
      </c>
      <c r="E16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8" s="12" t="inlineStr">
        <is>
          <t>Existence/Accuracy/Completeness</t>
        </is>
      </c>
      <c r="G16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8" s="13" t="inlineStr">
        <is>
          <t>Prev</t>
        </is>
      </c>
      <c r="I168" s="13" t="inlineStr">
        <is>
          <t>Automated</t>
        </is>
      </c>
      <c r="J168" s="13" t="inlineStr">
        <is>
          <t>Per receipt</t>
        </is>
      </c>
      <c r="K168" s="12" t="inlineStr">
        <is>
          <t>Warehouse / Procurement</t>
        </is>
      </c>
      <c r="L168" s="13" t="inlineStr">
        <is>
          <t>P17</t>
        </is>
      </c>
      <c r="M16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8" s="12" t="inlineStr">
        <is>
          <t>Inspect the over-receipt gate (aggregate per item, weight-UoM tolerance), the claim-window check against the GR timestamp, the close-short line binding, and the tolerance-change permission.</t>
        </is>
      </c>
      <c r="O16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8" s="12" t="inlineStr">
        <is>
          <t>GR summary (ordered vs received); OVER_RECEIPT / CLAIM_WINDOW_CLOSED / PO_LINE_CLOSED negatives; claim photo attachment</t>
        </is>
      </c>
      <c r="Q168" s="18" t="inlineStr">
        <is>
          <t>Implemented</t>
        </is>
      </c>
    </row>
    <row r="169">
      <c r="A169" s="15" t="inlineStr">
        <is>
          <t>FA-07</t>
        </is>
      </c>
      <c r="B169" s="16" t="inlineStr">
        <is>
          <t>Fixed Assets</t>
        </is>
      </c>
      <c r="C169" s="17" t="inlineStr">
        <is>
          <t>Application</t>
        </is>
      </c>
      <c r="D169" s="16" t="inlineStr">
        <is>
          <t>Property, Plant &amp; Equipment; Equity</t>
        </is>
      </c>
      <c r="E169" s="16" t="inlineStr">
        <is>
          <t>Carrying amount not adjusted for revaluation/impairment — asset over/understated.</t>
        </is>
      </c>
      <c r="F169" s="16" t="inlineStr">
        <is>
          <t>Valuation</t>
        </is>
      </c>
      <c r="G16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9" s="17" t="inlineStr">
        <is>
          <t>Det</t>
        </is>
      </c>
      <c r="I169" s="17" t="inlineStr">
        <is>
          <t>Automated</t>
        </is>
      </c>
      <c r="J169" s="17" t="inlineStr">
        <is>
          <t>Per event</t>
        </is>
      </c>
      <c r="K169" s="16" t="inlineStr">
        <is>
          <t>FaAccountant / Controller</t>
        </is>
      </c>
      <c r="L169" s="17" t="inlineStr">
        <is>
          <t>P10</t>
        </is>
      </c>
      <c r="M169" s="16" t="inlineStr">
        <is>
          <t>assets.service.ts (revalue up→3200 / down→5820, listRevaluations; dispose recycles surplus 3200→3100); assets.controller.ts (exec/creditors); schema/assets.ts (asset_revaluations) + migration 0120; cutover/basics.ts (ToE)</t>
        </is>
      </c>
      <c r="N169" s="16" t="inlineStr">
        <is>
          <t>Inspect revaluation/impairment routing + audit log + disposal recycling.</t>
        </is>
      </c>
      <c r="O169" s="16" t="inlineStr">
        <is>
          <t>Upward revaluation credits 3200; impairment debits 5820; no-change → NO_CHANGE; both events logged; on disposal the revaluation surplus is recycled to retained earnings (Dr 3200 / Cr 3100), not through P&amp;L (re-performed by the harness).</t>
        </is>
      </c>
      <c r="P169" s="16" t="inlineStr">
        <is>
          <t>Revaluation log; disposal recycling JE</t>
        </is>
      </c>
      <c r="Q169" s="18" t="inlineStr">
        <is>
          <t>Implemented</t>
        </is>
      </c>
    </row>
    <row r="170">
      <c r="A170" s="11" t="inlineStr">
        <is>
          <t>FA-08</t>
        </is>
      </c>
      <c r="B170" s="12" t="inlineStr">
        <is>
          <t>Fixed Assets</t>
        </is>
      </c>
      <c r="C170" s="13" t="inlineStr">
        <is>
          <t>Application</t>
        </is>
      </c>
      <c r="D170" s="12" t="inlineStr">
        <is>
          <t>Property, Plant &amp; Equipment; Equity</t>
        </is>
      </c>
      <c r="E170" s="12" t="inlineStr">
        <is>
          <t>Carrying amount changed by fair-value revaluation/impairment without independent review — the preparer revalues the asset and posts to equity/P&amp;L on their own (earnings/equity management).</t>
        </is>
      </c>
      <c r="F170" s="12" t="inlineStr">
        <is>
          <t>Authorization</t>
        </is>
      </c>
      <c r="G17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0" s="13" t="inlineStr">
        <is>
          <t>Prev</t>
        </is>
      </c>
      <c r="I170" s="13" t="inlineStr">
        <is>
          <t>Automated</t>
        </is>
      </c>
      <c r="J170" s="13" t="inlineStr">
        <is>
          <t>Per event</t>
        </is>
      </c>
      <c r="K170" s="12" t="inlineStr">
        <is>
          <t>FaAccountant / Controller</t>
        </is>
      </c>
      <c r="L170" s="13" t="inlineStr">
        <is>
          <t>P10</t>
        </is>
      </c>
      <c r="M170" s="12" t="inlineStr">
        <is>
          <t>assets.service.ts revalue(pendingApproval Draft)/approveRevaluation/rejectRevaluation; assets.controller.ts (:assetNo/revalue/approve|reject); schema/assets.ts asset_revaluations.status + migration 0134; cutover/basics.ts + compliance.ts (ToE)</t>
        </is>
      </c>
      <c r="N170" s="12" t="inlineStr">
        <is>
          <t>Inspect Draft→approve flow + the approver≠preparer check + deferred carrying-value update.</t>
        </is>
      </c>
      <c r="O170" s="12" t="inlineStr">
        <is>
          <t>Re-perform: request a revaluation (Draft JE excluded from 3200), attempt self-approve (SOD_VIOLATION), approve as a different user; confirm the surplus/impairment + carrying value move only after approval (re-performed by the harnesses).</t>
        </is>
      </c>
      <c r="P170" s="12" t="inlineStr">
        <is>
          <t>Revaluation approval log + SoD test</t>
        </is>
      </c>
      <c r="Q170" s="18" t="inlineStr">
        <is>
          <t>Implemented</t>
        </is>
      </c>
    </row>
    <row r="171">
      <c r="A171" s="15" t="inlineStr">
        <is>
          <t>LSE-01</t>
        </is>
      </c>
      <c r="B171" s="16" t="inlineStr">
        <is>
          <t>Leases</t>
        </is>
      </c>
      <c r="C171" s="17" t="inlineStr">
        <is>
          <t>Application</t>
        </is>
      </c>
      <c r="D171" s="16" t="inlineStr">
        <is>
          <t>Right-of-use assets; Lease liabilities</t>
        </is>
      </c>
      <c r="E171" s="16" t="inlineStr">
        <is>
          <t>Lease not capitalised (IFRS 16 / TFRS 16) — ROU asset + lease liability omitted; interest/depreciation mis-stated.</t>
        </is>
      </c>
      <c r="F171" s="16" t="inlineStr">
        <is>
          <t>Completeness/Accuracy/Valuation</t>
        </is>
      </c>
      <c r="G17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1" s="17" t="inlineStr">
        <is>
          <t>Det</t>
        </is>
      </c>
      <c r="I171" s="17" t="inlineStr">
        <is>
          <t>Automated</t>
        </is>
      </c>
      <c r="J171" s="17" t="inlineStr">
        <is>
          <t>Per period / per lease</t>
        </is>
      </c>
      <c r="K171" s="16" t="inlineStr">
        <is>
          <t>Controller</t>
        </is>
      </c>
      <c r="L171" s="17" t="inlineStr">
        <is>
          <t>P10</t>
        </is>
      </c>
      <c r="M171" s="16" t="inlineStr">
        <is>
          <t>leases.service.ts (createLease PV recognition, runDueLeases interest+payment+depreciation, modifyLease remeasurement); leases.controller.ts (gl_post); bi.service.ts (lease_periodic_run); schema/leases.ts (leases, rou_nbv) + migration 0120/0121; cutover/basics.ts (ToE)</t>
        </is>
      </c>
      <c r="N171" s="16" t="inlineStr">
        <is>
          <t>Inspect PV recognition + periodic interest/payment/depreciation + final-period clearing + modification remeasurement.</t>
        </is>
      </c>
      <c r="O17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1" s="16" t="inlineStr">
        <is>
          <t>Lease register; periodic run log; modification remeasurement</t>
        </is>
      </c>
      <c r="Q171" s="18" t="inlineStr">
        <is>
          <t>Implemented</t>
        </is>
      </c>
    </row>
    <row r="172">
      <c r="A172" s="11" t="inlineStr">
        <is>
          <t>REC-01</t>
        </is>
      </c>
      <c r="B172" s="12" t="inlineStr">
        <is>
          <t>Reconciliation</t>
        </is>
      </c>
      <c r="C172" s="13" t="inlineStr">
        <is>
          <t>Application</t>
        </is>
      </c>
      <c r="D172" s="12" t="inlineStr">
        <is>
          <t>All</t>
        </is>
      </c>
      <c r="E172" s="12" t="inlineStr">
        <is>
          <t>Subledgers diverge from GL undetected.</t>
        </is>
      </c>
      <c r="F172" s="12" t="inlineStr">
        <is>
          <t>Completeness/Accuracy</t>
        </is>
      </c>
      <c r="G172" s="12" t="inlineStr">
        <is>
          <t>Subledger-to-GL reconciliation per period: import GL, auto-match, certify (sign-off via 'approvals').</t>
        </is>
      </c>
      <c r="H172" s="13" t="inlineStr">
        <is>
          <t>Det</t>
        </is>
      </c>
      <c r="I172" s="13" t="inlineStr">
        <is>
          <t>Auto+Manual</t>
        </is>
      </c>
      <c r="J172" s="13" t="inlineStr">
        <is>
          <t>Monthly</t>
        </is>
      </c>
      <c r="K172" s="12" t="inlineStr">
        <is>
          <t>Controller</t>
        </is>
      </c>
      <c r="L172" s="13" t="inlineStr">
        <is>
          <t>P16</t>
        </is>
      </c>
      <c r="M172" s="12" t="inlineStr">
        <is>
          <t>reconciliation.service.ts (importGlItems/autoMatch/certify)</t>
        </is>
      </c>
      <c r="N172" s="12" t="inlineStr">
        <is>
          <t>Inspect recon + certify gate.</t>
        </is>
      </c>
      <c r="O172" s="12" t="inlineStr">
        <is>
          <t>Sample periods: reconciled, unmatched cleared, certified.</t>
        </is>
      </c>
      <c r="P172" s="12" t="inlineStr">
        <is>
          <t>Certified recon</t>
        </is>
      </c>
      <c r="Q172" s="18" t="inlineStr">
        <is>
          <t>Implemented</t>
        </is>
      </c>
    </row>
    <row r="173">
      <c r="A173" s="15" t="inlineStr">
        <is>
          <t>REC-02</t>
        </is>
      </c>
      <c r="B173" s="16" t="inlineStr">
        <is>
          <t>Reconciliation</t>
        </is>
      </c>
      <c r="C173" s="17" t="inlineStr">
        <is>
          <t>Application</t>
        </is>
      </c>
      <c r="D173" s="16" t="inlineStr">
        <is>
          <t>Cash</t>
        </is>
      </c>
      <c r="E173" s="16" t="inlineStr">
        <is>
          <t>Bank balance not reconciled to GL.</t>
        </is>
      </c>
      <c r="F173" s="16" t="inlineStr">
        <is>
          <t>Existence/Completeness</t>
        </is>
      </c>
      <c r="G173" s="16" t="inlineStr">
        <is>
          <t>Bank reconciliation against statements.</t>
        </is>
      </c>
      <c r="H173" s="17" t="inlineStr">
        <is>
          <t>Det</t>
        </is>
      </c>
      <c r="I173" s="17" t="inlineStr">
        <is>
          <t>Auto+Manual</t>
        </is>
      </c>
      <c r="J173" s="17" t="inlineStr">
        <is>
          <t>Monthly</t>
        </is>
      </c>
      <c r="K173" s="16" t="inlineStr">
        <is>
          <t>Controller</t>
        </is>
      </c>
      <c r="L173" s="17" t="inlineStr">
        <is>
          <t>P16</t>
        </is>
      </c>
      <c r="M173" s="16" t="inlineStr">
        <is>
          <t>bank module; drizzle/0015_bank_reconciliation</t>
        </is>
      </c>
      <c r="N173" s="16" t="inlineStr">
        <is>
          <t>Inspect bank-rec process.</t>
        </is>
      </c>
      <c r="O173" s="16" t="inlineStr">
        <is>
          <t>Sample months reconciled &amp; reviewed.</t>
        </is>
      </c>
      <c r="P173" s="16" t="inlineStr">
        <is>
          <t>Bank rec</t>
        </is>
      </c>
      <c r="Q173" s="18" t="inlineStr">
        <is>
          <t>Implemented</t>
        </is>
      </c>
    </row>
    <row r="174">
      <c r="A174" s="11" t="inlineStr">
        <is>
          <t>BANK-02</t>
        </is>
      </c>
      <c r="B174" s="12" t="inlineStr">
        <is>
          <t>Cash &amp; Treasury</t>
        </is>
      </c>
      <c r="C174" s="13" t="inlineStr">
        <is>
          <t>Application</t>
        </is>
      </c>
      <c r="D174" s="12" t="inlineStr">
        <is>
          <t>Cash; Operating expense; Interest income</t>
        </is>
      </c>
      <c r="E174" s="12" t="inlineStr">
        <is>
          <t>A bank fee/interest adjustment is posted straight to the GL by one person during reconciliation — a cash outflow mis-booked as interest income, or a fictitious fee posted, with no independent review (single-person posting to the cash account).</t>
        </is>
      </c>
      <c r="F174" s="12" t="inlineStr">
        <is>
          <t>Authorization/Accuracy</t>
        </is>
      </c>
      <c r="G17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4" s="13" t="inlineStr">
        <is>
          <t>Prev</t>
        </is>
      </c>
      <c r="I174" s="13" t="inlineStr">
        <is>
          <t>Automated</t>
        </is>
      </c>
      <c r="J174" s="13" t="inlineStr">
        <is>
          <t>Per adjustment</t>
        </is>
      </c>
      <c r="K174" s="12" t="inlineStr">
        <is>
          <t>Controller</t>
        </is>
      </c>
      <c r="L174" s="13" t="inlineStr">
        <is>
          <t>P10</t>
        </is>
      </c>
      <c r="M174" s="12" t="inlineStr">
        <is>
          <t>bank.service.ts requestAdjustment/approveAdjustment/rejectAdjustment/listPendingAdjustments (reuses ledger.approveEntry SoD); bank.controller.ts (lines/:id/adjustment requests; adjustment/approve|reject gated approvals/gl_close); cutover/bankrec.ts (ToE)</t>
        </is>
      </c>
      <c r="N174" s="12" t="inlineStr">
        <is>
          <t>Inspect the request→approve flow + the approver≠requester check + that the Draft posts nothing until approval.</t>
        </is>
      </c>
      <c r="O174" s="12" t="inlineStr">
        <is>
          <t>Re-perform: request a fee adjustment (line unreconciled, GL difference unchanged), attempt self-approve (SOD_VIOLATION), approve as a different user; confirm the difference closes to 0 only after approval (re-performed by the bankrec harness).</t>
        </is>
      </c>
      <c r="P174" s="12" t="inlineStr">
        <is>
          <t>Bank adjustment queue + SoD test</t>
        </is>
      </c>
      <c r="Q174" s="18" t="inlineStr">
        <is>
          <t>Implemented</t>
        </is>
      </c>
    </row>
    <row r="175">
      <c r="A175" s="15" t="inlineStr">
        <is>
          <t>REC-03</t>
        </is>
      </c>
      <c r="B175" s="16" t="inlineStr">
        <is>
          <t>Reconciliation</t>
        </is>
      </c>
      <c r="C175" s="17" t="inlineStr">
        <is>
          <t>Application</t>
        </is>
      </c>
      <c r="D175" s="16" t="inlineStr">
        <is>
          <t>Consolidation</t>
        </is>
      </c>
      <c r="E175" s="16" t="inlineStr">
        <is>
          <t>Intercompany balances eliminated without an independent reconciliation sign-off.</t>
        </is>
      </c>
      <c r="F175" s="16" t="inlineStr">
        <is>
          <t>Accuracy</t>
        </is>
      </c>
      <c r="G17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5" s="17" t="inlineStr">
        <is>
          <t>Det</t>
        </is>
      </c>
      <c r="I175" s="17" t="inlineStr">
        <is>
          <t>Auto+Manual</t>
        </is>
      </c>
      <c r="J175" s="17" t="inlineStr">
        <is>
          <t>Period</t>
        </is>
      </c>
      <c r="K175" s="16" t="inlineStr">
        <is>
          <t>Group Controller</t>
        </is>
      </c>
      <c r="L175" s="17" t="inlineStr">
        <is>
          <t>P16</t>
        </is>
      </c>
      <c r="M175" s="16" t="inlineStr">
        <is>
          <t>modules/ic-reconciliation/ic-recon.service.ts (prepare/approve, SoD + eliminates gate); consolidation.service.ts runConsolidation (IC_RECON_NOT_APPROVED gate); ic_recon_periods (0205, RLS); cutover/consolidation.ts (ToE)</t>
        </is>
      </c>
      <c r="N175" s="16" t="inlineStr">
        <is>
          <t>Inspect the per-period IC reconciliation sign-off + the consolidation gate.</t>
        </is>
      </c>
      <c r="O175" s="16" t="inlineStr">
        <is>
          <t>Re-perform: consolidation is blocked before sign-off (IC_RECON_NOT_APPROVED); the preparer cannot approve their own reconciliation (SOD_VIOLATION); an independent approver signs off (balances eliminate) → consolidation proceeds.</t>
        </is>
      </c>
      <c r="P175" s="16" t="inlineStr">
        <is>
          <t>IC reconciliation sign-off + consolidation gate ToE</t>
        </is>
      </c>
      <c r="Q175" s="18" t="inlineStr">
        <is>
          <t>Implemented</t>
        </is>
      </c>
    </row>
    <row r="176">
      <c r="A176" s="11" t="inlineStr">
        <is>
          <t>REC-04</t>
        </is>
      </c>
      <c r="B176" s="12" t="inlineStr">
        <is>
          <t>Reconciliation</t>
        </is>
      </c>
      <c r="C176" s="13" t="inlineStr">
        <is>
          <t>Application</t>
        </is>
      </c>
      <c r="D176" s="12" t="inlineStr">
        <is>
          <t>All control accounts</t>
        </is>
      </c>
      <c r="E176" s="12" t="inlineStr">
        <is>
          <t>A sub-ledger silently drifts from its GL control account at period-end and no single review catches it (incomplete/inaccurate balances reach the financial statements).</t>
        </is>
      </c>
      <c r="F176" s="12" t="inlineStr">
        <is>
          <t>Completeness/Accuracy</t>
        </is>
      </c>
      <c r="G17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6" s="13" t="inlineStr">
        <is>
          <t>Det</t>
        </is>
      </c>
      <c r="I176" s="13" t="inlineStr">
        <is>
          <t>Automated</t>
        </is>
      </c>
      <c r="J176" s="13" t="inlineStr">
        <is>
          <t>Period / on demand</t>
        </is>
      </c>
      <c r="K176" s="12" t="inlineStr">
        <is>
          <t>Controller / CFO</t>
        </is>
      </c>
      <c r="L176" s="13" t="inlineStr">
        <is>
          <t>P16</t>
        </is>
      </c>
      <c r="M176" s="12" t="inlineStr">
        <is>
          <t>finance.service.ts reconcileControls; finance.controller.ts GET reconciliation/controls (exec/ar/creditors); reuses ledger.trialBalance + the AR/AP/inventory/gift-card/deferred sub-ledgers; cutover/giftcards.ts + compliance.ts (ToE)</t>
        </is>
      </c>
      <c r="N176" s="12" t="inlineStr">
        <is>
          <t>Inspect the pack: each control account's sub-ledger query + the GL tie + the exceptions roll-up.</t>
        </is>
      </c>
      <c r="O176" s="12" t="inlineStr">
        <is>
          <t>Re-perform: with a clean set, every line reconciled + all_reconciled=true; introduce a known sub-ledger/GL difference and confirm it surfaces as an exception (re-performed: gift-card 2200 + inventory 1200 ties asserted by the harnesses).</t>
        </is>
      </c>
      <c r="P176" s="12" t="inlineStr">
        <is>
          <t>Reconciliation pack; exceptions list</t>
        </is>
      </c>
      <c r="Q176" s="18" t="inlineStr">
        <is>
          <t>Implemented</t>
        </is>
      </c>
    </row>
    <row r="177">
      <c r="A177" s="15" t="inlineStr">
        <is>
          <t>REC-05</t>
        </is>
      </c>
      <c r="B177" s="16" t="inlineStr">
        <is>
          <t>Reconciliation</t>
        </is>
      </c>
      <c r="C177" s="17" t="inlineStr">
        <is>
          <t>Application</t>
        </is>
      </c>
      <c r="D177" s="16" t="inlineStr">
        <is>
          <t>Cash; Bank</t>
        </is>
      </c>
      <c r="E177" s="16" t="inlineStr">
        <is>
          <t>Till cash dropped to the safe never reaches the bank, or a deposit isn't matched to the statement — cash sits unbanked (theft/loss exposure) or the bank balance can't be tied to the books.</t>
        </is>
      </c>
      <c r="F177" s="16" t="inlineStr">
        <is>
          <t>Completeness/Existence/Authorization</t>
        </is>
      </c>
      <c r="G17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7" s="17" t="inlineStr">
        <is>
          <t>Det/Prev</t>
        </is>
      </c>
      <c r="I177" s="17" t="inlineStr">
        <is>
          <t>Auto+Manual</t>
        </is>
      </c>
      <c r="J177" s="17" t="inlineStr">
        <is>
          <t>Per banking run</t>
        </is>
      </c>
      <c r="K177" s="16" t="inlineStr">
        <is>
          <t>FinancialController / Treasury</t>
        </is>
      </c>
      <c r="L177" s="17" t="inlineStr">
        <is>
          <t>P16</t>
        </is>
      </c>
      <c r="M17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7" s="16" t="inlineStr">
        <is>
          <t>Inspect the undeposited-drop exposure read + the deposit GL (bank↔1000) + the reconcile step + the SoD (cashier vs treasury).</t>
        </is>
      </c>
      <c r="O177" s="16" t="inlineStr">
        <is>
          <t>Re-perform: two till drops → cash-in-safe shows the total; a cashier (pos_till) cannot bank (403); treasury banks → Dr bank / Cr 1000, cash-in-safe back to 0; reconcile the deposit; trial balance balanced (re-performed by the cash-banking harness).</t>
        </is>
      </c>
      <c r="P177" s="16" t="inlineStr">
        <is>
          <t>Bank-deposit register; undeposited-drop (cash-in-safe) exposure</t>
        </is>
      </c>
      <c r="Q177" s="18" t="inlineStr">
        <is>
          <t>Implemented</t>
        </is>
      </c>
    </row>
    <row r="178">
      <c r="A178" s="11" t="inlineStr">
        <is>
          <t>TR-01</t>
        </is>
      </c>
      <c r="B178" s="12" t="inlineStr">
        <is>
          <t>Cash &amp; Treasury</t>
        </is>
      </c>
      <c r="C178" s="13" t="inlineStr">
        <is>
          <t>Detective</t>
        </is>
      </c>
      <c r="D178" s="12" t="inlineStr">
        <is>
          <t>Cash; Bank</t>
        </is>
      </c>
      <c r="E17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8" s="12" t="inlineStr">
        <is>
          <t>Completeness/Accuracy</t>
        </is>
      </c>
      <c r="G17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8" s="13" t="inlineStr">
        <is>
          <t>Det</t>
        </is>
      </c>
      <c r="I178" s="13" t="inlineStr">
        <is>
          <t>Hybrid</t>
        </is>
      </c>
      <c r="J178" s="13" t="inlineStr">
        <is>
          <t>Weekly / per treasury review</t>
        </is>
      </c>
      <c r="K178" s="12" t="inlineStr">
        <is>
          <t>Treasurer / Controller</t>
        </is>
      </c>
      <c r="L178" s="13" t="inlineStr">
        <is>
          <t>P16</t>
        </is>
      </c>
      <c r="M17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8" s="12" t="inlineStr">
        <is>
          <t>Inspect the cash/bank position (ties to the trial balance), the 13-week forecast + projected trough, the liquidity KPIs, and the FX exposure by currency.</t>
        </is>
      </c>
      <c r="O17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8" s="12" t="inlineStr">
        <is>
          <t>Cash-position / treasury board (finance/metrics/cash/position); harness ToE (finance-kpi)</t>
        </is>
      </c>
      <c r="Q178" s="18" t="inlineStr">
        <is>
          <t>Implemented</t>
        </is>
      </c>
    </row>
    <row r="179">
      <c r="A179" s="15" t="inlineStr">
        <is>
          <t>GOV-01</t>
        </is>
      </c>
      <c r="B179" s="16" t="inlineStr">
        <is>
          <t>Monitoring</t>
        </is>
      </c>
      <c r="C179" s="17" t="inlineStr">
        <is>
          <t>Application</t>
        </is>
      </c>
      <c r="D179" s="16" t="inlineStr">
        <is>
          <t>All</t>
        </is>
      </c>
      <c r="E179" s="16" t="inlineStr">
        <is>
          <t>A maker-checker approval sits un-actioned and is forgotten — a transaction stalls before it is effective, or (worse) a control is quietly bypassed and no one notices an item never got its independent review.</t>
        </is>
      </c>
      <c r="F179" s="16" t="inlineStr">
        <is>
          <t>Authorization/Completeness</t>
        </is>
      </c>
      <c r="G17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9" s="17" t="inlineStr">
        <is>
          <t>Det</t>
        </is>
      </c>
      <c r="I179" s="17" t="inlineStr">
        <is>
          <t>Automated</t>
        </is>
      </c>
      <c r="J179" s="17" t="inlineStr">
        <is>
          <t>Continuous / pre-close</t>
        </is>
      </c>
      <c r="K179" s="16" t="inlineStr">
        <is>
          <t>Controller / CFO</t>
        </is>
      </c>
      <c r="L179" s="17" t="inlineStr">
        <is>
          <t>P16</t>
        </is>
      </c>
      <c r="M17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9" s="16" t="inlineStr">
        <is>
          <t>Inspect the aggregation across all pending sources + the age/overdue roll-up.</t>
        </is>
      </c>
      <c r="O179" s="16" t="inlineStr">
        <is>
          <t>Re-perform: create a pending item (e.g. a Draft JE) and confirm it appears in the worklist with its control ID, amount and age; the overdue count flags items past the threshold (re-performed by the harness).</t>
        </is>
      </c>
      <c r="P179" s="16" t="inlineStr">
        <is>
          <t>Pending-approvals worklist</t>
        </is>
      </c>
      <c r="Q179" s="18" t="inlineStr">
        <is>
          <t>Implemented</t>
        </is>
      </c>
    </row>
    <row r="180">
      <c r="A180" s="11" t="inlineStr">
        <is>
          <t>TAX-01</t>
        </is>
      </c>
      <c r="B180" s="12" t="inlineStr">
        <is>
          <t>Tax</t>
        </is>
      </c>
      <c r="C180" s="13" t="inlineStr">
        <is>
          <t>Application</t>
        </is>
      </c>
      <c r="D180" s="12" t="inlineStr">
        <is>
          <t>Tax (VAT)</t>
        </is>
      </c>
      <c r="E180" s="12" t="inlineStr">
        <is>
          <t>VAT computed incorrectly → filing/penalty risk.</t>
        </is>
      </c>
      <c r="F180" s="12" t="inlineStr">
        <is>
          <t>Accuracy</t>
        </is>
      </c>
      <c r="G180" s="12" t="inlineStr">
        <is>
          <t>VAT via pluggable provider (TH 7%); unit-tested; no hard-coded rate.</t>
        </is>
      </c>
      <c r="H180" s="13" t="inlineStr">
        <is>
          <t>Auto</t>
        </is>
      </c>
      <c r="I180" s="13" t="inlineStr">
        <is>
          <t>Automated</t>
        </is>
      </c>
      <c r="J180" s="13" t="inlineStr">
        <is>
          <t>Per txn</t>
        </is>
      </c>
      <c r="K180" s="12" t="inlineStr">
        <is>
          <t>Tax / Controller</t>
        </is>
      </c>
      <c r="L180" s="13" t="inlineStr">
        <is>
          <t>P10</t>
        </is>
      </c>
      <c r="M180" s="12" t="inlineStr">
        <is>
          <t>tax/tax-providers.ts; tax.service.ts; test/unit.test.ts</t>
        </is>
      </c>
      <c r="N180" s="12" t="inlineStr">
        <is>
          <t>Inspect rate provider + tests.</t>
        </is>
      </c>
      <c r="O180" s="12" t="inlineStr">
        <is>
          <t>Re-perform VAT on sample; tie to return.</t>
        </is>
      </c>
      <c r="P180" s="12" t="inlineStr">
        <is>
          <t>VAT tests</t>
        </is>
      </c>
      <c r="Q180" s="18" t="inlineStr">
        <is>
          <t>Implemented</t>
        </is>
      </c>
    </row>
    <row r="181">
      <c r="A181" s="15" t="inlineStr">
        <is>
          <t>TAX-02</t>
        </is>
      </c>
      <c r="B181" s="16" t="inlineStr">
        <is>
          <t>Tax</t>
        </is>
      </c>
      <c r="C181" s="17" t="inlineStr">
        <is>
          <t>Application</t>
        </is>
      </c>
      <c r="D181" s="16" t="inlineStr">
        <is>
          <t>Tax; Revenue</t>
        </is>
      </c>
      <c r="E181" s="16" t="inlineStr">
        <is>
          <t>Non-compliant e-Tax invoice / not transmitted to ETDA, or a failed SP submission silently lost.</t>
        </is>
      </c>
      <c r="F181" s="16" t="inlineStr">
        <is>
          <t>Accuracy/Compliance</t>
        </is>
      </c>
      <c r="G18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1" s="17" t="inlineStr">
        <is>
          <t>Auto</t>
        </is>
      </c>
      <c r="I181" s="17" t="inlineStr">
        <is>
          <t>Automated</t>
        </is>
      </c>
      <c r="J181" s="17" t="inlineStr">
        <is>
          <t>Per invoice</t>
        </is>
      </c>
      <c r="K181" s="16" t="inlineStr">
        <is>
          <t>Tax</t>
        </is>
      </c>
      <c r="L181" s="17" t="inlineStr">
        <is>
          <t>P10/P13</t>
        </is>
      </c>
      <c r="M181" s="16" t="inlineStr">
        <is>
          <t>tax-docs/etax-xml.ts; etax-email.service.ts; pos-fiscal/etax.service.ts + etax-providers.ts (submit/retryFailed, tested); tax-docs/pdfa3.ts</t>
        </is>
      </c>
      <c r="N181" s="16" t="inlineStr">
        <is>
          <t>Inspect XML schema + email composer + submission log.</t>
        </is>
      </c>
      <c r="O181" s="16" t="inlineStr">
        <is>
          <t>Sample invoices: valid XML, correct CC/escaping; induce a submission failure and confirm it is retryable, not lost.</t>
        </is>
      </c>
      <c r="P181" s="16" t="inlineStr">
        <is>
          <t>e-Tax samples; submission log</t>
        </is>
      </c>
      <c r="Q181" s="18" t="inlineStr">
        <is>
          <t>Implemented</t>
        </is>
      </c>
    </row>
    <row r="182">
      <c r="A182" s="11" t="inlineStr">
        <is>
          <t>TAX-03</t>
        </is>
      </c>
      <c r="B182" s="12" t="inlineStr">
        <is>
          <t>Tax</t>
        </is>
      </c>
      <c r="C182" s="13" t="inlineStr">
        <is>
          <t>Application</t>
        </is>
      </c>
      <c r="D182" s="12" t="inlineStr">
        <is>
          <t>Tax (WHT)</t>
        </is>
      </c>
      <c r="E182" s="12" t="inlineStr">
        <is>
          <t>Withholding tax mis-computed, not withheld at payment, or not tied to the GL.</t>
        </is>
      </c>
      <c r="F182" s="12" t="inlineStr">
        <is>
          <t>Accuracy</t>
        </is>
      </c>
      <c r="G18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2" s="13" t="inlineStr">
        <is>
          <t>Auto</t>
        </is>
      </c>
      <c r="I182" s="13" t="inlineStr">
        <is>
          <t>Automated</t>
        </is>
      </c>
      <c r="J182" s="13" t="inlineStr">
        <is>
          <t>Per payment / monthly</t>
        </is>
      </c>
      <c r="K182" s="12" t="inlineStr">
        <is>
          <t>Tax</t>
        </is>
      </c>
      <c r="L182" s="13" t="inlineStr">
        <is>
          <t>P10</t>
        </is>
      </c>
      <c r="M18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2" s="12" t="inlineStr">
        <is>
          <t>Inspect the WHT-at-payment posting + the ภ.ง.ด.→GL tie-out + the scheduled auto-cert batch.</t>
        </is>
      </c>
      <c r="O18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2" s="12" t="inlineStr">
        <is>
          <t>WHT GL postings + ภ.ง.ด.→GL tie-out + scheduled 50-ทวิ auto-cert ToE</t>
        </is>
      </c>
      <c r="Q182" s="18" t="inlineStr">
        <is>
          <t>Implemented</t>
        </is>
      </c>
    </row>
    <row r="183">
      <c r="A183" s="15" t="inlineStr">
        <is>
          <t>TAX-04</t>
        </is>
      </c>
      <c r="B183" s="16" t="inlineStr">
        <is>
          <t>Tax</t>
        </is>
      </c>
      <c r="C183" s="17" t="inlineStr">
        <is>
          <t>Application</t>
        </is>
      </c>
      <c r="D183" s="16" t="inlineStr">
        <is>
          <t>Tax (VAT); Tax Payable (2100)</t>
        </is>
      </c>
      <c r="E183" s="16" t="inlineStr">
        <is>
          <t>Output/input VAT on the filed ภ.พ.30 return does not agree to the GL — VAT liability mis-stated, a filing/penalty exposure, or a posting omission goes undetected before submission.</t>
        </is>
      </c>
      <c r="F183" s="16" t="inlineStr">
        <is>
          <t>Completeness/Accuracy</t>
        </is>
      </c>
      <c r="G18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3" s="17" t="inlineStr">
        <is>
          <t>Det</t>
        </is>
      </c>
      <c r="I183" s="17" t="inlineStr">
        <is>
          <t>Automated</t>
        </is>
      </c>
      <c r="J183" s="17" t="inlineStr">
        <is>
          <t>Monthly / pre-filing</t>
        </is>
      </c>
      <c r="K183" s="16" t="inlineStr">
        <is>
          <t>Tax / FinancialController</t>
        </is>
      </c>
      <c r="L183" s="17" t="inlineStr">
        <is>
          <t>P10/P16</t>
        </is>
      </c>
      <c r="M183" s="16" t="inlineStr">
        <is>
          <t>tax-reports.service.ts pp30 (outputVat/inputVat + 2100 net-movement tie); tax-reports.controller.ts (GET pp30, pp30/export, exec); tax-reports-pdf.ts; dine-in.service.ts/returns.service.ts/finance.service.ts post 2100 on sale/return/AP; /tax/reports UI; cutover/taxdocs.ts (ToE)</t>
        </is>
      </c>
      <c r="N183" s="16" t="inlineStr">
        <is>
          <t>Inspect the pp30 build + the 2100 net-movement query + the tie flag + the filing deadline.</t>
        </is>
      </c>
      <c r="O18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3" s="16" t="inlineStr">
        <is>
          <t>ภ.พ.30 return + GL-2100 reconciliation tie</t>
        </is>
      </c>
      <c r="Q183" s="18" t="inlineStr">
        <is>
          <t>Implemented</t>
        </is>
      </c>
    </row>
    <row r="184">
      <c r="A184" s="11" t="inlineStr">
        <is>
          <t>TAX-05</t>
        </is>
      </c>
      <c r="B184" s="12" t="inlineStr">
        <is>
          <t>Tax</t>
        </is>
      </c>
      <c r="C184" s="13" t="inlineStr">
        <is>
          <t>Application</t>
        </is>
      </c>
      <c r="D184" s="12" t="inlineStr">
        <is>
          <t>Tax (VAT/WHT)</t>
        </is>
      </c>
      <c r="E18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4" s="12" t="inlineStr">
        <is>
          <t>Completeness/Accuracy/Cutoff</t>
        </is>
      </c>
      <c r="G18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4" s="13" t="inlineStr">
        <is>
          <t>Det/Prev</t>
        </is>
      </c>
      <c r="I184" s="13" t="inlineStr">
        <is>
          <t>Auto+Manual</t>
        </is>
      </c>
      <c r="J184" s="13" t="inlineStr">
        <is>
          <t>Monthly / per filing</t>
        </is>
      </c>
      <c r="K184" s="12" t="inlineStr">
        <is>
          <t>Tax / FinancialController</t>
        </is>
      </c>
      <c r="L184" s="13" t="inlineStr">
        <is>
          <t>P10/P16</t>
        </is>
      </c>
      <c r="M18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4" s="12" t="inlineStr">
        <is>
          <t>Inspect the filing snapshot + the DRAFT→SUBMITTED→ACCEPTED lifecycle + the mandatory submission reference + the no-overwrite-of-a-filed-return rule + the deadline calendar.</t>
        </is>
      </c>
      <c r="O18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4" s="12" t="inlineStr">
        <is>
          <t>thai_tax_filings register + remittance calendar</t>
        </is>
      </c>
      <c r="Q184" s="18" t="inlineStr">
        <is>
          <t>Implemented</t>
        </is>
      </c>
    </row>
    <row r="185">
      <c r="A185" s="15" t="inlineStr">
        <is>
          <t>TAX-06</t>
        </is>
      </c>
      <c r="B185" s="16" t="inlineStr">
        <is>
          <t>Tax</t>
        </is>
      </c>
      <c r="C185" s="17" t="inlineStr">
        <is>
          <t>Application</t>
        </is>
      </c>
      <c r="D185" s="16" t="inlineStr">
        <is>
          <t>Deferred Tax Asset (1700); Deferred Tax Liability (2700); Deferred Tax Expense (5950)</t>
        </is>
      </c>
      <c r="E18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5" s="16" t="inlineStr">
        <is>
          <t>Accuracy/Valuation/Completeness/Authorization/Segregation of Duties</t>
        </is>
      </c>
      <c r="G18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5" s="17" t="inlineStr">
        <is>
          <t>Prev</t>
        </is>
      </c>
      <c r="I185" s="17" t="inlineStr">
        <is>
          <t>Automated</t>
        </is>
      </c>
      <c r="J185" s="17" t="inlineStr">
        <is>
          <t>Quarterly / year-end</t>
        </is>
      </c>
      <c r="K185" s="16" t="inlineStr">
        <is>
          <t>Tax / Financial Controller</t>
        </is>
      </c>
      <c r="L185" s="17" t="inlineStr">
        <is>
          <t>P10</t>
        </is>
      </c>
      <c r="M18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5" s="16" t="inlineStr">
        <is>
          <t>Inspect the temp-difference gathering (allowance×rate DTA + accelerated-dep DTL with the documented tax-dep simplification), the delta-vs-prior-run, the SELF_POST maker-checker, and the 1700/5950 posting through the period-lock gate.</t>
        </is>
      </c>
      <c r="O18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5" s="16" t="inlineStr">
        <is>
          <t>deferred_tax_runs register (Open→Posted, temp-difference schedule, runner/poster); the DEFTAX JE to 1700/5950; quarterly/year-end deferred-tax sign-off</t>
        </is>
      </c>
      <c r="Q185" s="18" t="inlineStr">
        <is>
          <t>Implemented</t>
        </is>
      </c>
    </row>
    <row r="186">
      <c r="A186" s="11" t="inlineStr">
        <is>
          <t>TAX-07</t>
        </is>
      </c>
      <c r="B186" s="12" t="inlineStr">
        <is>
          <t>Tax</t>
        </is>
      </c>
      <c r="C186" s="13" t="inlineStr">
        <is>
          <t>Application</t>
        </is>
      </c>
      <c r="D186" s="12" t="inlineStr">
        <is>
          <t>Tax (VAT); Tax Payable (2100); Revenue (4000); Accounts Receivable (1100)</t>
        </is>
      </c>
      <c r="E18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6" s="12" t="inlineStr">
        <is>
          <t>Accuracy/Completeness/Occurrence/Authorization/Segregation of Duties</t>
        </is>
      </c>
      <c r="G18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6" s="13" t="inlineStr">
        <is>
          <t>Prev</t>
        </is>
      </c>
      <c r="I186" s="13" t="inlineStr">
        <is>
          <t>Automated</t>
        </is>
      </c>
      <c r="J186" s="13" t="inlineStr">
        <is>
          <t>Per note</t>
        </is>
      </c>
      <c r="K186" s="12" t="inlineStr">
        <is>
          <t>Tax / Financial Controller</t>
        </is>
      </c>
      <c r="L186" s="13" t="inlineStr">
        <is>
          <t>P10</t>
        </is>
      </c>
      <c r="M18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6" s="12" t="inlineStr">
        <is>
          <t>Inspect the reference/reason/credit-cap validation, the PendingApproval + Draft-GL issuance, the approver≠issuer SoD, and the signed output-VAT aggregation into the issue period.</t>
        </is>
      </c>
      <c r="O18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6" s="12" t="inlineStr">
        <is>
          <t>ใบลดหนี้/ใบเพิ่มหนี้ register (PendingApproval→Issued/Voided, original ref + reason, issuer/approver); the CN/DN JE to 4000/2100/1100; the signed output-VAT report row</t>
        </is>
      </c>
      <c r="Q186" s="18" t="inlineStr">
        <is>
          <t>Implemented</t>
        </is>
      </c>
    </row>
    <row r="187">
      <c r="A187" s="15" t="inlineStr">
        <is>
          <t>TAX-08</t>
        </is>
      </c>
      <c r="B187" s="16" t="inlineStr">
        <is>
          <t>Tax</t>
        </is>
      </c>
      <c r="C187" s="17" t="inlineStr">
        <is>
          <t>Application</t>
        </is>
      </c>
      <c r="D187" s="16" t="inlineStr">
        <is>
          <t>Input VAT (1300); PP36 VAT Payable (2120); Expense (5100)</t>
        </is>
      </c>
      <c r="E18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7" s="16" t="inlineStr">
        <is>
          <t>Completeness/Accuracy/Compliance</t>
        </is>
      </c>
      <c r="G18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7" s="17" t="inlineStr">
        <is>
          <t>Det</t>
        </is>
      </c>
      <c r="I187" s="17" t="inlineStr">
        <is>
          <t>Automated</t>
        </is>
      </c>
      <c r="J187" s="17" t="inlineStr">
        <is>
          <t>Per bill / monthly</t>
        </is>
      </c>
      <c r="K187" s="16" t="inlineStr">
        <is>
          <t>Tax</t>
        </is>
      </c>
      <c r="L187" s="17" t="inlineStr">
        <is>
          <t>P10</t>
        </is>
      </c>
      <c r="M18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7" s="16" t="inlineStr">
        <is>
          <t>Inspect the reverse_charge net booking + the Dr 1300 / Cr 2120 self-assessment leg, the ภ.พ.36 report + GL 2120 tie, and the filing/remittance-calendar wiring.</t>
        </is>
      </c>
      <c r="O18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7" s="16" t="inlineStr">
        <is>
          <t>ภ.พ.36 report + GL 2120 reconciliation tie; the self-assessment JE (1300/2120); the ภ.พ.36 filing register row + remittance calendar</t>
        </is>
      </c>
      <c r="Q187" s="18" t="inlineStr">
        <is>
          <t>Implemented</t>
        </is>
      </c>
    </row>
    <row r="188">
      <c r="A188" s="11" t="inlineStr">
        <is>
          <t>TAX-09</t>
        </is>
      </c>
      <c r="B188" s="12" t="inlineStr">
        <is>
          <t>Tax</t>
        </is>
      </c>
      <c r="C188" s="13" t="inlineStr">
        <is>
          <t>Application</t>
        </is>
      </c>
      <c r="D188" s="12" t="inlineStr">
        <is>
          <t>SBT Payable (2130); SBT Expense (5840); Project Revenue (4200)</t>
        </is>
      </c>
      <c r="E18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8" s="12" t="inlineStr">
        <is>
          <t>Completeness/Accuracy/Compliance</t>
        </is>
      </c>
      <c r="G18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8" s="13" t="inlineStr">
        <is>
          <t>Det</t>
        </is>
      </c>
      <c r="I188" s="13" t="inlineStr">
        <is>
          <t>Automated</t>
        </is>
      </c>
      <c r="J188" s="13" t="inlineStr">
        <is>
          <t>Per transfer / monthly</t>
        </is>
      </c>
      <c r="K188" s="12" t="inlineStr">
        <is>
          <t>Tax / Financial Controller</t>
        </is>
      </c>
      <c r="L188" s="13" t="inlineStr">
        <is>
          <t>P10</t>
        </is>
      </c>
      <c r="M18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8" s="12" t="inlineStr">
        <is>
          <t>Inspect the per-project opt-in rate, the atomic Dr 5840 / Cr 2130 accrual inside the transfer JE, the ภ.ธ.40 report + GL 2130 tie, and the filing/remittance-calendar wiring.</t>
        </is>
      </c>
      <c r="O18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8" s="12" t="inlineStr">
        <is>
          <t>ภ.ธ.40 report + GL 2130 reconciliation tie; the transfer JE SBT lines; the ภ.ธ.40 filing register row + remittance calendar</t>
        </is>
      </c>
      <c r="Q188" s="18" t="inlineStr">
        <is>
          <t>Implemented</t>
        </is>
      </c>
    </row>
    <row r="189">
      <c r="A189" s="15" t="inlineStr">
        <is>
          <t>TAX-10</t>
        </is>
      </c>
      <c r="B189" s="16" t="inlineStr">
        <is>
          <t>Tax</t>
        </is>
      </c>
      <c r="C189" s="17" t="inlineStr">
        <is>
          <t>Application</t>
        </is>
      </c>
      <c r="D189" s="16" t="inlineStr">
        <is>
          <t>Tax (VAT); Output VAT (2100); Revenue (4000)</t>
        </is>
      </c>
      <c r="E18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89" s="16" t="inlineStr">
        <is>
          <t>Accuracy/Occurrence/Completeness/Compliance</t>
        </is>
      </c>
      <c r="G18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89" s="17" t="inlineStr">
        <is>
          <t>Prev</t>
        </is>
      </c>
      <c r="I189" s="17" t="inlineStr">
        <is>
          <t>Automated</t>
        </is>
      </c>
      <c r="J189" s="17" t="inlineStr">
        <is>
          <t>Per conversion</t>
        </is>
      </c>
      <c r="K189" s="16" t="inlineStr">
        <is>
          <t>Store Manager / Tax</t>
        </is>
      </c>
      <c r="L189" s="17" t="inlineStr">
        <is>
          <t>P10</t>
        </is>
      </c>
      <c r="M189" s="16" t="inlineStr">
        <is>
          <t>tax/documents/tax-invoice.service.ts convertAbbreviatedToFull; tax-docs.controller.ts POST abbreviated/:docNo/convert-full; dto.ts ConvertAbbBody; schema/tax-docs.ts uq_tiv_converted_from + migration 0291; web /tax/invoices conversion card; cutover/taxdocs.ts (TAX-10 ToE)</t>
        </is>
      </c>
      <c r="N189" s="16" t="inlineStr">
        <is>
          <t>Inspect the buyer Tax-ID validation, the verbatim amount copy, the Replaced-status single-count, the idempotency backstop index and the audit metadata.</t>
        </is>
      </c>
      <c r="O18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89" s="16" t="inlineStr">
        <is>
          <t>Converted-invoice pair (ABB Replaced + linked full TIV); ภ.พ.30 single-count assertion; audit_log tax_abb_convert row; taxdocs harness ToE</t>
        </is>
      </c>
      <c r="Q189" s="18" t="inlineStr">
        <is>
          <t>Implemented</t>
        </is>
      </c>
    </row>
    <row r="190">
      <c r="A190" s="11" t="inlineStr">
        <is>
          <t>PAY-01</t>
        </is>
      </c>
      <c r="B190" s="12" t="inlineStr">
        <is>
          <t>Payroll</t>
        </is>
      </c>
      <c r="C190" s="13" t="inlineStr">
        <is>
          <t>Application</t>
        </is>
      </c>
      <c r="D190" s="12" t="inlineStr">
        <is>
          <t>Payroll expense/liability</t>
        </is>
      </c>
      <c r="E190" s="12" t="inlineStr">
        <is>
          <t>Payroll, SSO and PIT mis-computed.</t>
        </is>
      </c>
      <c r="F190" s="12" t="inlineStr">
        <is>
          <t>Accuracy</t>
        </is>
      </c>
      <c r="G190" s="12" t="inlineStr">
        <is>
          <t>Payroll engine — SSO 5% (cap 750), progressive PIT, payslip net; unit-tested.</t>
        </is>
      </c>
      <c r="H190" s="13" t="inlineStr">
        <is>
          <t>Auto</t>
        </is>
      </c>
      <c r="I190" s="13" t="inlineStr">
        <is>
          <t>Automated</t>
        </is>
      </c>
      <c r="J190" s="13" t="inlineStr">
        <is>
          <t>Per run</t>
        </is>
      </c>
      <c r="K190" s="12" t="inlineStr">
        <is>
          <t>HR / Payroll</t>
        </is>
      </c>
      <c r="L190" s="13" t="inlineStr">
        <is>
          <t>P10</t>
        </is>
      </c>
      <c r="M190" s="12" t="inlineStr">
        <is>
          <t>payroll/payroll-calc.ts; test/unit.test.ts</t>
        </is>
      </c>
      <c r="N190" s="12" t="inlineStr">
        <is>
          <t>Inspect calc + tests.</t>
        </is>
      </c>
      <c r="O190" s="12" t="inlineStr">
        <is>
          <t>Re-perform sample payslips.</t>
        </is>
      </c>
      <c r="P190" s="12" t="inlineStr">
        <is>
          <t>Payslip tests</t>
        </is>
      </c>
      <c r="Q190" s="18" t="inlineStr">
        <is>
          <t>Implemented</t>
        </is>
      </c>
    </row>
    <row r="191">
      <c r="A191" s="15" t="inlineStr">
        <is>
          <t>PAY-02</t>
        </is>
      </c>
      <c r="B191" s="16" t="inlineStr">
        <is>
          <t>Payroll</t>
        </is>
      </c>
      <c r="C191" s="17" t="inlineStr">
        <is>
          <t>Application</t>
        </is>
      </c>
      <c r="D191" s="16" t="inlineStr">
        <is>
          <t>Payroll liability</t>
        </is>
      </c>
      <c r="E191" s="16" t="inlineStr">
        <is>
          <t>Statutory withholdings (SSO/WHT/PF) mis-stated or not remitted, so the liability owed to the authorities diverges from the books.</t>
        </is>
      </c>
      <c r="F191" s="16" t="inlineStr">
        <is>
          <t>Accuracy/Compliance</t>
        </is>
      </c>
      <c r="G19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1" s="17" t="inlineStr">
        <is>
          <t>Det</t>
        </is>
      </c>
      <c r="I191" s="17" t="inlineStr">
        <is>
          <t>Automated</t>
        </is>
      </c>
      <c r="J191" s="17" t="inlineStr">
        <is>
          <t>Per run / monthly</t>
        </is>
      </c>
      <c r="K191" s="16" t="inlineStr">
        <is>
          <t>HR / Payroll / Treasury</t>
        </is>
      </c>
      <c r="L191" s="17" t="inlineStr">
        <is>
          <t>P10</t>
        </is>
      </c>
      <c r="M191" s="16" t="inlineStr">
        <is>
          <t>payroll/payroll.service.ts liabilities/remitLiability</t>
        </is>
      </c>
      <c r="N191" s="16" t="inlineStr">
        <is>
          <t>Inspect the schedule + the accrued/remitted/outstanding tie-out and the reconciled flag.</t>
        </is>
      </c>
      <c r="O191" s="16" t="inlineStr">
        <is>
          <t>Re-perform: run a payroll, confirm the SSO/WHT outstanding equals the payrun accrual; remit part and confirm the outstanding falls and the TB stays balanced; attempt an over-remit (REMIT_EXCEEDS_OUTSTANDING).</t>
        </is>
      </c>
      <c r="P191" s="16" t="inlineStr">
        <is>
          <t>Liability schedule + remittance JEs tied to filings</t>
        </is>
      </c>
      <c r="Q191" s="18" t="inlineStr">
        <is>
          <t>Implemented</t>
        </is>
      </c>
    </row>
    <row r="192">
      <c r="A192" s="11" t="inlineStr">
        <is>
          <t>PAY-03</t>
        </is>
      </c>
      <c r="B192" s="12" t="inlineStr">
        <is>
          <t>Payroll</t>
        </is>
      </c>
      <c r="C192" s="13" t="inlineStr">
        <is>
          <t>Application</t>
        </is>
      </c>
      <c r="D192" s="12" t="inlineStr">
        <is>
          <t>Payroll expense/liability; Cash</t>
        </is>
      </c>
      <c r="E192" s="12" t="inlineStr">
        <is>
          <t>Payroll run posted to the GL without independent review — the preparer both computes and posts their own payroll (ghost employees, inflated rate/hours).</t>
        </is>
      </c>
      <c r="F192" s="12" t="inlineStr">
        <is>
          <t>Authorization</t>
        </is>
      </c>
      <c r="G19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2" s="13" t="inlineStr">
        <is>
          <t>Prev</t>
        </is>
      </c>
      <c r="I192" s="13" t="inlineStr">
        <is>
          <t>Automated</t>
        </is>
      </c>
      <c r="J192" s="13" t="inlineStr">
        <is>
          <t>Per run</t>
        </is>
      </c>
      <c r="K192" s="12" t="inlineStr">
        <is>
          <t>HR / Payroll; Controller</t>
        </is>
      </c>
      <c r="L192" s="13" t="inlineStr">
        <is>
          <t>P10</t>
        </is>
      </c>
      <c r="M192" s="12" t="inlineStr">
        <is>
          <t>payroll/payroll.service.ts approvePayroll/rejectPayroll; migration 0133</t>
        </is>
      </c>
      <c r="N192" s="12" t="inlineStr">
        <is>
          <t>Inspect Draft→approve flow + the approver≠preparer check.</t>
        </is>
      </c>
      <c r="O192" s="12" t="inlineStr">
        <is>
          <t>Re-perform: run as A, attempt self-approve (SOD_VIOLATION), approve as B; confirm the JE hits balances only after approval.</t>
        </is>
      </c>
      <c r="P192" s="12" t="inlineStr">
        <is>
          <t>Approval log + SoD test</t>
        </is>
      </c>
      <c r="Q192" s="18" t="inlineStr">
        <is>
          <t>Implemented</t>
        </is>
      </c>
    </row>
    <row r="193">
      <c r="A193" s="15" t="inlineStr">
        <is>
          <t>PAY-04</t>
        </is>
      </c>
      <c r="B193" s="16" t="inlineStr">
        <is>
          <t>Payroll</t>
        </is>
      </c>
      <c r="C193" s="17" t="inlineStr">
        <is>
          <t>Application</t>
        </is>
      </c>
      <c r="D193" s="16" t="inlineStr">
        <is>
          <t>Payroll expense; Labor cost</t>
        </is>
      </c>
      <c r="E19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3" s="16" t="inlineStr">
        <is>
          <t>Accuracy/Completeness</t>
        </is>
      </c>
      <c r="G19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3" s="17" t="inlineStr">
        <is>
          <t>Det/Prev</t>
        </is>
      </c>
      <c r="I193" s="17" t="inlineStr">
        <is>
          <t>Auto+Manual</t>
        </is>
      </c>
      <c r="J193" s="17" t="inlineStr">
        <is>
          <t>Per shift / payroll cycle</t>
        </is>
      </c>
      <c r="K193" s="16" t="inlineStr">
        <is>
          <t>HR / Store Ops Mgr</t>
        </is>
      </c>
      <c r="L193" s="17" t="inlineStr">
        <is>
          <t>P10/P13</t>
        </is>
      </c>
      <c r="M19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3" s="16" t="inlineStr">
        <is>
          <t>Inspect the statutory-default overlay, the tier multipliers, the 48h cap + over_cap flag, and the labor-% threshold alert (raise/idempotent/resolve).</t>
        </is>
      </c>
      <c r="O19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3" s="16" t="inlineStr">
        <is>
          <t>labor_ot_rules + labor_alerts register; OT/labor-% test</t>
        </is>
      </c>
      <c r="Q193" s="18" t="inlineStr">
        <is>
          <t>Implemented</t>
        </is>
      </c>
    </row>
    <row r="194">
      <c r="A194" s="11" t="inlineStr">
        <is>
          <t>PAY-05</t>
        </is>
      </c>
      <c r="B194" s="12" t="inlineStr">
        <is>
          <t>Payroll</t>
        </is>
      </c>
      <c r="C194" s="13" t="inlineStr">
        <is>
          <t>Application</t>
        </is>
      </c>
      <c r="D194" s="12" t="inlineStr">
        <is>
          <t>Payroll expense; Labor hours</t>
        </is>
      </c>
      <c r="E19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4" s="12" t="inlineStr">
        <is>
          <t>Existence/Accuracy/Authorization</t>
        </is>
      </c>
      <c r="G19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4" s="13" t="inlineStr">
        <is>
          <t>Prev/Det</t>
        </is>
      </c>
      <c r="I194" s="13" t="inlineStr">
        <is>
          <t>Automated</t>
        </is>
      </c>
      <c r="J194" s="13" t="inlineStr">
        <is>
          <t>Per punch</t>
        </is>
      </c>
      <c r="K194" s="12" t="inlineStr">
        <is>
          <t>HR / Store Ops Mgr</t>
        </is>
      </c>
      <c r="L194" s="13" t="inlineStr">
        <is>
          <t>P10/P13</t>
        </is>
      </c>
      <c r="M19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4" s="12" t="inlineStr">
        <is>
          <t>Inspect the 15-min duplicate-punch guard, the method capture, the geofence pass/fail computation, and the supervisor-override reason + audit trail.</t>
        </is>
      </c>
      <c r="O19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4" s="12" t="inlineStr">
        <is>
          <t>time_clock method/geofence columns + override note; anti-buddy test</t>
        </is>
      </c>
      <c r="Q194" s="18" t="inlineStr">
        <is>
          <t>Implemented</t>
        </is>
      </c>
    </row>
    <row r="195">
      <c r="A195" s="15" t="inlineStr">
        <is>
          <t>PAY-06</t>
        </is>
      </c>
      <c r="B195" s="16" t="inlineStr">
        <is>
          <t>Payroll</t>
        </is>
      </c>
      <c r="C195" s="17" t="inlineStr">
        <is>
          <t>Application</t>
        </is>
      </c>
      <c r="D195" s="16" t="inlineStr">
        <is>
          <t>Payroll PII; Payslip</t>
        </is>
      </c>
      <c r="E19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5" s="16" t="inlineStr">
        <is>
          <t>Confidentiality/Restricted access</t>
        </is>
      </c>
      <c r="G19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5" s="17" t="inlineStr">
        <is>
          <t>Prev</t>
        </is>
      </c>
      <c r="I195" s="17" t="inlineStr">
        <is>
          <t>Automated</t>
        </is>
      </c>
      <c r="J195" s="17" t="inlineStr">
        <is>
          <t>Per access</t>
        </is>
      </c>
      <c r="K195" s="16" t="inlineStr">
        <is>
          <t>HR / Payroll; DPO</t>
        </is>
      </c>
      <c r="L195" s="17" t="inlineStr">
        <is>
          <t>P10</t>
        </is>
      </c>
      <c r="M19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5" s="16" t="inlineStr">
        <is>
          <t>Inspect the me()-&gt;employee_id predicate on the ESS route, the HR-route permission gate, and the last-4 citizen-ID mask.</t>
        </is>
      </c>
      <c r="O19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5" s="16" t="inlineStr">
        <is>
          <t>PDPA payslip-access test (own-200/other-404/HR-403) + masked-ID render</t>
        </is>
      </c>
      <c r="Q195" s="18" t="inlineStr">
        <is>
          <t>Implemented</t>
        </is>
      </c>
    </row>
    <row r="196">
      <c r="A196" s="11" t="inlineStr">
        <is>
          <t>FA-09</t>
        </is>
      </c>
      <c r="B196" s="12" t="inlineStr">
        <is>
          <t>Fixed Assets</t>
        </is>
      </c>
      <c r="C196" s="13" t="inlineStr">
        <is>
          <t>Application</t>
        </is>
      </c>
      <c r="D196" s="12" t="inlineStr">
        <is>
          <t>Property, Plant &amp; Equipment; Cash</t>
        </is>
      </c>
      <c r="E196" s="12" t="inlineStr">
        <is>
          <t>Asset disposed without independent review — one person writes an asset off the books and records the proceeds (asset-stripping / theft: dispose a still-held asset, or to a related party below value).</t>
        </is>
      </c>
      <c r="F196" s="12" t="inlineStr">
        <is>
          <t>Authorization</t>
        </is>
      </c>
      <c r="G19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6" s="13" t="inlineStr">
        <is>
          <t>Prev</t>
        </is>
      </c>
      <c r="I196" s="13" t="inlineStr">
        <is>
          <t>Automated</t>
        </is>
      </c>
      <c r="J196" s="13" t="inlineStr">
        <is>
          <t>Per disposal</t>
        </is>
      </c>
      <c r="K196" s="12" t="inlineStr">
        <is>
          <t>FaAccountant / Controller</t>
        </is>
      </c>
      <c r="L196" s="13" t="inlineStr">
        <is>
          <t>P10</t>
        </is>
      </c>
      <c r="M196" s="12" t="inlineStr">
        <is>
          <t>assets.service.ts dispose(pendingApproval Draft)/approveDisposal/rejectDisposal; assets.controller.ts (:assetNo/dispose/approve|reject); schema/assets.ts fixed_assets.disposal_pending + migration 0135; cutover/basics.ts + worldclass.ts + compliance.ts (ToE)</t>
        </is>
      </c>
      <c r="N196" s="12" t="inlineStr">
        <is>
          <t>Inspect Draft→approve flow + the approver≠requester check + deferred status/recycle.</t>
        </is>
      </c>
      <c r="O196" s="12" t="inlineStr">
        <is>
          <t>Re-perform: request a disposal (Draft JE excluded), attempt self-approve (SOD_VIOLATION), approve as a different user; confirm status→disposed + surplus recycled only after approval (re-performed by the harnesses).</t>
        </is>
      </c>
      <c r="P196" s="12" t="inlineStr">
        <is>
          <t>Disposal approval log + SoD test</t>
        </is>
      </c>
      <c r="Q196" s="18" t="inlineStr">
        <is>
          <t>Implemented</t>
        </is>
      </c>
    </row>
    <row r="197">
      <c r="A197" s="15" t="inlineStr">
        <is>
          <t>FA-10</t>
        </is>
      </c>
      <c r="B197" s="16" t="inlineStr">
        <is>
          <t>Fixed Assets</t>
        </is>
      </c>
      <c r="C197" s="17" t="inlineStr">
        <is>
          <t>Application</t>
        </is>
      </c>
      <c r="D197" s="16" t="inlineStr">
        <is>
          <t>Property, Plant &amp; Equipment; Accounts Payable</t>
        </is>
      </c>
      <c r="E197" s="16" t="inlineStr">
        <is>
          <t>Capital purchases mis-capitalised or capitalised without independent review — the person who receives the goods also decides what enters the asset register and at what cost/useful life (fictitious or over-valued assets; capex/opex mis-classification).</t>
        </is>
      </c>
      <c r="F197" s="16" t="inlineStr">
        <is>
          <t>Authorization; Accuracy</t>
        </is>
      </c>
      <c r="G19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7" s="17" t="inlineStr">
        <is>
          <t>Prev</t>
        </is>
      </c>
      <c r="I197" s="17" t="inlineStr">
        <is>
          <t>Automated</t>
        </is>
      </c>
      <c r="J197" s="17" t="inlineStr">
        <is>
          <t>Per capital receipt</t>
        </is>
      </c>
      <c r="K197" s="16" t="inlineStr">
        <is>
          <t>FaAccountant / Controller</t>
        </is>
      </c>
      <c r="L197" s="17" t="inlineStr">
        <is>
          <t>P10</t>
        </is>
      </c>
      <c r="M19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7" s="16" t="inlineStr">
        <is>
          <t>Inspect the eligible→request→approve flow + approver≠requester check + the inventory-vs-asset routing of capital lines.</t>
        </is>
      </c>
      <c r="O197" s="16" t="inlineStr">
        <is>
          <t>Re-perform: receive a capital line, raise a registration (no GL), attempt self-approve (SOD_VIOLATION), approve as a different user; confirm the asset + Dr 1500/Cr 2000 post only after approval and the line cannot be re-registered (re-performed by the harnesses).</t>
        </is>
      </c>
      <c r="P197" s="16" t="inlineStr">
        <is>
          <t>Capitalization approval log + SoD test</t>
        </is>
      </c>
      <c r="Q197" s="18" t="inlineStr">
        <is>
          <t>Implemented</t>
        </is>
      </c>
    </row>
    <row r="198">
      <c r="A198" s="11" t="inlineStr">
        <is>
          <t>FA-11</t>
        </is>
      </c>
      <c r="B198" s="12" t="inlineStr">
        <is>
          <t>Fixed Assets</t>
        </is>
      </c>
      <c r="C198" s="13" t="inlineStr">
        <is>
          <t>Application</t>
        </is>
      </c>
      <c r="D198" s="12" t="inlineStr">
        <is>
          <t>Property, Plant &amp; Equipment</t>
        </is>
      </c>
      <c r="E19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8" s="12" t="inlineStr">
        <is>
          <t>Authorization; Existence</t>
        </is>
      </c>
      <c r="G19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8" s="13" t="inlineStr">
        <is>
          <t>Prev / Det</t>
        </is>
      </c>
      <c r="I198" s="13" t="inlineStr">
        <is>
          <t>Automated</t>
        </is>
      </c>
      <c r="J198" s="13" t="inlineStr">
        <is>
          <t>Per custody move / per audit</t>
        </is>
      </c>
      <c r="K198" s="12" t="inlineStr">
        <is>
          <t>FaAccountant / Controller</t>
        </is>
      </c>
      <c r="L198" s="13" t="inlineStr">
        <is>
          <t>P10</t>
        </is>
      </c>
      <c r="M19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8" s="12" t="inlineStr">
        <is>
          <t>Inspect the scan-&gt;request-&gt;approve flow + the approver!=requester check + the audit reconcile-&gt;custody-request path.</t>
        </is>
      </c>
      <c r="O19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8" s="12" t="inlineStr">
        <is>
          <t>Custody-change approval log + audit reconciliation + SoD test</t>
        </is>
      </c>
      <c r="Q198" s="18" t="inlineStr">
        <is>
          <t>Implemented</t>
        </is>
      </c>
    </row>
    <row r="199">
      <c r="A199" s="15" t="inlineStr">
        <is>
          <t>FA-12</t>
        </is>
      </c>
      <c r="B199" s="16" t="inlineStr">
        <is>
          <t>Fixed Assets</t>
        </is>
      </c>
      <c r="C199" s="17" t="inlineStr">
        <is>
          <t>Detective</t>
        </is>
      </c>
      <c r="D199" s="16" t="inlineStr">
        <is>
          <t>Property, Plant &amp; Equipment</t>
        </is>
      </c>
      <c r="E199" s="16" t="inlineStr">
        <is>
          <t>Assets exist on the register but are never physically confirmed — a missing/stolen/scrapped asset stays on the books indefinitely because no periodic existence check flags it, overstating PPE and the existence assertion.</t>
        </is>
      </c>
      <c r="F199" s="16" t="inlineStr">
        <is>
          <t>Existence; Completeness</t>
        </is>
      </c>
      <c r="G19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9" s="17" t="inlineStr">
        <is>
          <t>Det</t>
        </is>
      </c>
      <c r="I199" s="17" t="inlineStr">
        <is>
          <t>Automated</t>
        </is>
      </c>
      <c r="J199" s="17" t="inlineStr">
        <is>
          <t>Monthly (scheduled) / on demand</t>
        </is>
      </c>
      <c r="K199" s="16" t="inlineStr">
        <is>
          <t>FaAccountant / Controller</t>
        </is>
      </c>
      <c r="L199" s="17" t="inlineStr">
        <is>
          <t>P16</t>
        </is>
      </c>
      <c r="M199" s="16" t="inlineStr">
        <is>
          <t>assets.service.ts unverifiedAssets/auditReport; assets.controller.ts (unverified, audit-report); bi.service.ts REPORT_TYPES asset_verification_exceptions + asset_audit + generateReport blocks; bi.module.ts imports AssetsModule; cutover/module-qr.ts (ToE)</t>
        </is>
      </c>
      <c r="N199" s="16" t="inlineStr">
        <is>
          <t>Inspect the exception query (last Scan Verify/Update vs N-day threshold, acquisition-date fallback) and that the report is a registered, schedulable BI type.</t>
        </is>
      </c>
      <c r="O19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9" s="16" t="inlineStr">
        <is>
          <t>Scheduled exception report runs + exception list + verification-movement log</t>
        </is>
      </c>
      <c r="Q199" s="18" t="inlineStr">
        <is>
          <t>Implemented</t>
        </is>
      </c>
    </row>
    <row r="200">
      <c r="A200" s="11" t="inlineStr">
        <is>
          <t>CON-01</t>
        </is>
      </c>
      <c r="B200" s="12" t="inlineStr">
        <is>
          <t>Consolidation &amp; FX</t>
        </is>
      </c>
      <c r="C200" s="13" t="inlineStr">
        <is>
          <t>Application</t>
        </is>
      </c>
      <c r="D200" s="12" t="inlineStr">
        <is>
          <t>Consolidation</t>
        </is>
      </c>
      <c r="E200" s="12" t="inlineStr">
        <is>
          <t>Group consolidation mis-stated (ownership/currency).</t>
        </is>
      </c>
      <c r="F200" s="12" t="inlineStr">
        <is>
          <t>Accuracy</t>
        </is>
      </c>
      <c r="G200" s="12" t="inlineStr">
        <is>
          <t>Consolidation run (ownership %, entity currency) gated by 'approvals'.</t>
        </is>
      </c>
      <c r="H200" s="13" t="inlineStr">
        <is>
          <t>Auto+Manual</t>
        </is>
      </c>
      <c r="I200" s="13" t="inlineStr">
        <is>
          <t>Period</t>
        </is>
      </c>
      <c r="J200" s="13" t="inlineStr">
        <is>
          <t>Period</t>
        </is>
      </c>
      <c r="K200" s="12" t="inlineStr">
        <is>
          <t>Group Controller</t>
        </is>
      </c>
      <c r="L200" s="13" t="inlineStr">
        <is>
          <t>P10</t>
        </is>
      </c>
      <c r="M200" s="12" t="inlineStr">
        <is>
          <t>consolidation.service.ts (runConsolidation @Permissions approvals)</t>
        </is>
      </c>
      <c r="N200" s="12" t="inlineStr">
        <is>
          <t>Inspect consolidation logic + gate.</t>
        </is>
      </c>
      <c r="O200" s="12" t="inlineStr">
        <is>
          <t>Sample period: consolidated TB ties to entities.</t>
        </is>
      </c>
      <c r="P200" s="12" t="inlineStr">
        <is>
          <t>Consol TB</t>
        </is>
      </c>
      <c r="Q200" s="18" t="inlineStr">
        <is>
          <t>Implemented</t>
        </is>
      </c>
    </row>
    <row r="201">
      <c r="A201" s="15" t="inlineStr">
        <is>
          <t>CON-02</t>
        </is>
      </c>
      <c r="B201" s="16" t="inlineStr">
        <is>
          <t>Consolidation &amp; FX</t>
        </is>
      </c>
      <c r="C201" s="17" t="inlineStr">
        <is>
          <t>Application</t>
        </is>
      </c>
      <c r="D201" s="16" t="inlineStr">
        <is>
          <t>FX gain/loss</t>
        </is>
      </c>
      <c r="E201" s="16" t="inlineStr">
        <is>
          <t>FX exposures not revalued at period-end.</t>
        </is>
      </c>
      <c r="F201" s="16" t="inlineStr">
        <is>
          <t>Valuation</t>
        </is>
      </c>
      <c r="G201" s="16" t="inlineStr">
        <is>
          <t>FX revaluation at period-end rates; unrealized FX posted (acct 5400).</t>
        </is>
      </c>
      <c r="H201" s="17" t="inlineStr">
        <is>
          <t>Auto+Manual</t>
        </is>
      </c>
      <c r="I201" s="17" t="inlineStr">
        <is>
          <t>Period-end</t>
        </is>
      </c>
      <c r="J201" s="17" t="inlineStr">
        <is>
          <t>Period</t>
        </is>
      </c>
      <c r="K201" s="16" t="inlineStr">
        <is>
          <t>Controller</t>
        </is>
      </c>
      <c r="L201" s="17" t="inlineStr">
        <is>
          <t>P10</t>
        </is>
      </c>
      <c r="M201" s="16" t="inlineStr">
        <is>
          <t>fx.service.ts (revalue / unrealized report)</t>
        </is>
      </c>
      <c r="N201" s="16" t="inlineStr">
        <is>
          <t>Inspect reval logic + rates.</t>
        </is>
      </c>
      <c r="O201" s="16" t="inlineStr">
        <is>
          <t>Recompute reval on sample balances.</t>
        </is>
      </c>
      <c r="P201" s="16" t="inlineStr">
        <is>
          <t>FX reval JE</t>
        </is>
      </c>
      <c r="Q201" s="18" t="inlineStr">
        <is>
          <t>Implemented</t>
        </is>
      </c>
    </row>
    <row r="202">
      <c r="A202" s="11" t="inlineStr">
        <is>
          <t>CON-03</t>
        </is>
      </c>
      <c r="B202" s="12" t="inlineStr">
        <is>
          <t>Consolidation &amp; FX</t>
        </is>
      </c>
      <c r="C202" s="13" t="inlineStr">
        <is>
          <t>Application</t>
        </is>
      </c>
      <c r="D202" s="12" t="inlineStr">
        <is>
          <t>Consolidation</t>
        </is>
      </c>
      <c r="E202" s="12" t="inlineStr">
        <is>
          <t>Intercompany balances/transactions are not eliminated on consolidation, OR eliminations are mis-stated, so the consolidated group trial balance does not balance and group financials are overstated (IC double-counted).</t>
        </is>
      </c>
      <c r="F202" s="12" t="inlineStr">
        <is>
          <t>Accuracy/Completeness</t>
        </is>
      </c>
      <c r="G20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2" s="13" t="inlineStr">
        <is>
          <t>Prev</t>
        </is>
      </c>
      <c r="I202" s="13" t="inlineStr">
        <is>
          <t>Auto+Manual</t>
        </is>
      </c>
      <c r="J202" s="13" t="inlineStr">
        <is>
          <t>Period</t>
        </is>
      </c>
      <c r="K202" s="12" t="inlineStr">
        <is>
          <t>Group Controller</t>
        </is>
      </c>
      <c r="L202" s="13" t="inlineStr">
        <is>
          <t>P10</t>
        </is>
      </c>
      <c r="M20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2" s="12" t="inlineStr">
        <is>
          <t>Inspect the combine→eliminate→balance flow, the CONSOL_UNBALANCED guard, and the run→post approver≠runner check.</t>
        </is>
      </c>
      <c r="O202" s="12" t="inlineStr">
        <is>
          <t>Re-perform: run a group consolidation, confirm IC 1150/2150 eliminate and the consolidated TB balances; attempt self-post (SELF_POST); post as a different user (Posted); re-run the posted period (ALREADY_POSTED). Re-performed by the consolidation harness.</t>
        </is>
      </c>
      <c r="P202" s="12" t="inlineStr">
        <is>
          <t>Consolidated TB + elimination lines + post log</t>
        </is>
      </c>
      <c r="Q202" s="18" t="inlineStr">
        <is>
          <t>Implemented</t>
        </is>
      </c>
    </row>
    <row r="203">
      <c r="A203" s="15" t="inlineStr">
        <is>
          <t>CON-04</t>
        </is>
      </c>
      <c r="B203" s="16" t="inlineStr">
        <is>
          <t>Consolidation &amp; FX</t>
        </is>
      </c>
      <c r="C203" s="17" t="inlineStr">
        <is>
          <t>Application</t>
        </is>
      </c>
      <c r="D203" s="16" t="inlineStr">
        <is>
          <t>All (segment disclosure)</t>
        </is>
      </c>
      <c r="E203" s="16" t="inlineStr">
        <is>
          <t>Segment (branch/project/department) operating results are not reported, so IFRS 8 segment disclosure is incomplete or inaccurate and management/investors cannot see results by reportable segment.</t>
        </is>
      </c>
      <c r="F203" s="16" t="inlineStr">
        <is>
          <t>Presentation/Disclosure</t>
        </is>
      </c>
      <c r="G20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3" s="17" t="inlineStr">
        <is>
          <t>Det</t>
        </is>
      </c>
      <c r="I203" s="17" t="inlineStr">
        <is>
          <t>Auto+Manual</t>
        </is>
      </c>
      <c r="J203" s="17" t="inlineStr">
        <is>
          <t>Period</t>
        </is>
      </c>
      <c r="K203" s="16" t="inlineStr">
        <is>
          <t>Group Controller</t>
        </is>
      </c>
      <c r="L203" s="17" t="inlineStr">
        <is>
          <t>P10</t>
        </is>
      </c>
      <c r="M203" s="16" t="inlineStr">
        <is>
          <t>consolidation.service.ts defineSegment/listSegments/segmentReport; consolidation.controller.ts (segments, segment-report @exec); schema/consolidation.ts segment_definitions + migration 0170; cutover/consolidation.ts (ToE)</t>
        </is>
      </c>
      <c r="N203" s="16" t="inlineStr">
        <is>
          <t>Inspect the segment mapping + the dimension-grouped P&amp;L aggregation.</t>
        </is>
      </c>
      <c r="O203" s="16" t="inlineStr">
        <is>
          <t>Re-perform: define a segment over branches, run the segment report for a period, confirm revenue/expense/net tie to the underlying dimensioned postings. Re-performed by the consolidation harness.</t>
        </is>
      </c>
      <c r="P203" s="16" t="inlineStr">
        <is>
          <t>Segment P&amp;L report</t>
        </is>
      </c>
      <c r="Q203" s="18" t="inlineStr">
        <is>
          <t>Implemented</t>
        </is>
      </c>
    </row>
    <row r="204">
      <c r="A204" s="11" t="inlineStr">
        <is>
          <t>FX-04</t>
        </is>
      </c>
      <c r="B204" s="12" t="inlineStr">
        <is>
          <t>Consolidation &amp; FX</t>
        </is>
      </c>
      <c r="C204" s="13" t="inlineStr">
        <is>
          <t>Application</t>
        </is>
      </c>
      <c r="D204" s="12" t="inlineStr">
        <is>
          <t>FX gain/loss; Revenue; AR/AP</t>
        </is>
      </c>
      <c r="E204" s="12" t="inlineStr">
        <is>
          <t>A wrong manually-entered FX rate (fat-fingered, e.g. USD 36 keyed as 63) flows straight into a period-end revaluation JE and the unrealized-FX report with no independent review — mis-stating earnings/equity and FX-translated balances.</t>
        </is>
      </c>
      <c r="F204" s="12" t="inlineStr">
        <is>
          <t>Accuracy/Valuation</t>
        </is>
      </c>
      <c r="G20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4" s="13" t="inlineStr">
        <is>
          <t>Prev</t>
        </is>
      </c>
      <c r="I204" s="13" t="inlineStr">
        <is>
          <t>Automated</t>
        </is>
      </c>
      <c r="J204" s="13" t="inlineStr">
        <is>
          <t>Per rate</t>
        </is>
      </c>
      <c r="K204" s="12" t="inlineStr">
        <is>
          <t>Controller / Treasury</t>
        </is>
      </c>
      <c r="L204" s="13" t="inlineStr">
        <is>
          <t>P10</t>
        </is>
      </c>
      <c r="M20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4" s="12" t="inlineStr">
        <is>
          <t>Inspect the request→approve flow + the approver≠requester check + that revaluation/reporting resolve Approved rates only.</t>
        </is>
      </c>
      <c r="O204" s="12" t="inlineStr">
        <is>
          <t>Re-perform: enter a manual rate (PendingApproval), confirm revalue is blocked NO_RATE while pending, attempt self-approve (SOD_VIOLATION), approve as a different user, then revalue succeeds (re-performed by the fxreval harness).</t>
        </is>
      </c>
      <c r="P204" s="12" t="inlineStr">
        <is>
          <t>FX rate approval log + SoD test</t>
        </is>
      </c>
      <c r="Q204" s="18" t="inlineStr">
        <is>
          <t>Implemented</t>
        </is>
      </c>
    </row>
    <row r="205">
      <c r="A205" s="15" t="inlineStr">
        <is>
          <t>BUD-01</t>
        </is>
      </c>
      <c r="B205" s="16" t="inlineStr">
        <is>
          <t>Budgeting &amp; Planning</t>
        </is>
      </c>
      <c r="C205" s="17" t="inlineStr">
        <is>
          <t>Application</t>
        </is>
      </c>
      <c r="D205" s="16" t="inlineStr">
        <is>
          <t>Budget; All (variance reporting)</t>
        </is>
      </c>
      <c r="E20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5" s="16" t="inlineStr">
        <is>
          <t>Authorization/Accuracy</t>
        </is>
      </c>
      <c r="G20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5" s="17" t="inlineStr">
        <is>
          <t>Prev</t>
        </is>
      </c>
      <c r="I205" s="17" t="inlineStr">
        <is>
          <t>Automated</t>
        </is>
      </c>
      <c r="J205" s="17" t="inlineStr">
        <is>
          <t>Per budget</t>
        </is>
      </c>
      <c r="K205" s="16" t="inlineStr">
        <is>
          <t>Controller / FP&amp;A</t>
        </is>
      </c>
      <c r="L205" s="17" t="inlineStr">
        <is>
          <t>P10</t>
        </is>
      </c>
      <c r="M205" s="16" t="inlineStr">
        <is>
          <t>budget.service.ts upsertBudget(→PendingApproval)/approveBudget/rejectBudget/budgetVsActual(Approved only); budget.controller.ts (budgets/approve|reject|pending gated approvals/gl_close); schema/budgets.ts budgets.status + migration 0142; cutover/budget.ts (ToE)</t>
        </is>
      </c>
      <c r="N205" s="16" t="inlineStr">
        <is>
          <t>Inspect the request→approve flow + the approver≠requester check + that budget-vs-actual counts Approved budgets only.</t>
        </is>
      </c>
      <c r="O205" s="16" t="inlineStr">
        <is>
          <t>Re-perform: upsert a budget (PendingApproval, excluded from variance), attempt self-approve (SOD_VIOLATION), approve as a different user, confirm it then appears in budget-vs-actual (re-performed by the budget harness).</t>
        </is>
      </c>
      <c r="P205" s="16" t="inlineStr">
        <is>
          <t>Budget approval log + SoD test</t>
        </is>
      </c>
      <c r="Q205" s="18" t="inlineStr">
        <is>
          <t>Implemented</t>
        </is>
      </c>
    </row>
  </sheetData>
  <autoFilter ref="A1:Q2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COUNTIF(RCM!$Q$2:$Q$205,B5)</f>
        <v/>
      </c>
    </row>
    <row r="6">
      <c r="B6" s="27" t="inlineStr">
        <is>
          <t>Partial</t>
        </is>
      </c>
      <c r="C6" s="26">
        <f>COUNTIF(RCM!$Q$2:$Q$205,B6)</f>
        <v/>
      </c>
    </row>
    <row r="7">
      <c r="B7" s="28" t="inlineStr">
        <is>
          <t>Gap</t>
        </is>
      </c>
      <c r="C7" s="26">
        <f>COUNTIF(RCM!$Q$2:$Q$205,B7)</f>
        <v/>
      </c>
    </row>
    <row r="8">
      <c r="B8" s="29" t="inlineStr">
        <is>
          <t>Total</t>
        </is>
      </c>
      <c r="C8" s="29">
        <f>COUNTA(RCM!$A$2:$A$205)</f>
        <v/>
      </c>
    </row>
    <row r="10">
      <c r="B10" s="24" t="inlineStr">
        <is>
          <t>By Category</t>
        </is>
      </c>
    </row>
    <row r="11">
      <c r="B11" s="26" t="inlineStr">
        <is>
          <t>Entity</t>
        </is>
      </c>
      <c r="C11" s="26">
        <f>COUNTIF(RCM!$C$2:$C$205,B11)</f>
        <v/>
      </c>
    </row>
    <row r="12">
      <c r="B12" s="26" t="inlineStr">
        <is>
          <t>ITGC</t>
        </is>
      </c>
      <c r="C12" s="26">
        <f>COUNTIF(RCM!$C$2:$C$205,B12)</f>
        <v/>
      </c>
    </row>
    <row r="13">
      <c r="B13" s="26" t="inlineStr">
        <is>
          <t>Application</t>
        </is>
      </c>
      <c r="C13" s="26">
        <f>COUNTIF(RCM!$C$2:$C$205,B13)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2026-07-10T05:19:07Z</dcterms:created>
  <dcterms:modified xsi:type="dcterms:W3CDTF">2026-07-10T05:19:08Z</dcterms:modified>
</cp:coreProperties>
</file>