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'RCM'!$A$1:$Q$228</definedName>
    <definedName name="_xlnm._FilterDatabase" localSheetId="2" hidden="1">'Gap Remediation'!$A$2:$H$5</definedName>
    <definedName name="_xlnm._FilterDatabase" localSheetId="5" hidden="1">'RCM1'!$A$1:$Q$228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HR-05</t>
        </is>
      </c>
      <c r="B228" s="12" t="inlineStr">
        <is>
          <t>Payroll</t>
        </is>
      </c>
      <c r="C228" s="13" t="inlineStr">
        <is>
          <t>Application</t>
        </is>
      </c>
      <c r="D228" s="12" t="inlineStr">
        <is>
          <t>Human Resources (joiner-mover-leaver / IT access)</t>
        </is>
      </c>
      <c r="E22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8" s="12" t="inlineStr">
        <is>
          <t>Authorization/Segregation of Duties</t>
        </is>
      </c>
      <c r="G22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8" s="13" t="inlineStr">
        <is>
          <t>Prev/Det</t>
        </is>
      </c>
      <c r="I228" s="13" t="inlineStr">
        <is>
          <t>Automated</t>
        </is>
      </c>
      <c r="J228" s="13" t="inlineStr">
        <is>
          <t>Per departure / periodic exception scan</t>
        </is>
      </c>
      <c r="K228" s="12" t="inlineStr">
        <is>
          <t>HR / People Ops; IT Security</t>
        </is>
      </c>
      <c r="L228" s="13" t="inlineStr">
        <is>
          <t>P10</t>
        </is>
      </c>
      <c r="M22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0323, RLS + tenant-leading indexes); /hcm/onboarding UI; cutover/hcm-onboarding.ts (ToE)</t>
        </is>
      </c>
      <c r="N228" s="12" t="inlineStr">
        <is>
          <t>Inspect the access-revocation-pending count vs the completion gate, the hr_admin/exec + reason skip authorisation with its ACCESS_REVOCATION_SKIP audit row, and the offboarding-exceptions detective query.</t>
        </is>
      </c>
      <c r="O22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8" s="12" t="inlineStr">
        <is>
          <t>Offboarding checklist with the access-revocation completion gate + the ACCESS_REVOCATION_SKIP audit trail + the offboarding-exceptions exception register</t>
        </is>
      </c>
      <c r="Q228" s="18" t="inlineStr">
        <is>
          <t>Implemented</t>
        </is>
      </c>
    </row>
  </sheetData>
  <autoFilter ref="A1:Q2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COUNTIF(RCM!$Q$2:$Q$228,B5)</f>
        <v/>
      </c>
    </row>
    <row r="6">
      <c r="B6" s="27" t="inlineStr">
        <is>
          <t>Partial</t>
        </is>
      </c>
      <c r="C6" s="26">
        <f>COUNTIF(RCM!$Q$2:$Q$228,B6)</f>
        <v/>
      </c>
    </row>
    <row r="7">
      <c r="B7" s="28" t="inlineStr">
        <is>
          <t>Gap</t>
        </is>
      </c>
      <c r="C7" s="26">
        <f>COUNTIF(RCM!$Q$2:$Q$228,B7)</f>
        <v/>
      </c>
    </row>
    <row r="8">
      <c r="B8" s="29" t="inlineStr">
        <is>
          <t>Total</t>
        </is>
      </c>
      <c r="C8" s="29">
        <f>COUNTA(RCM!$A$2:$A$228)</f>
        <v/>
      </c>
    </row>
    <row r="10">
      <c r="B10" s="24" t="inlineStr">
        <is>
          <t>By Category</t>
        </is>
      </c>
    </row>
    <row r="11">
      <c r="B11" s="26" t="inlineStr">
        <is>
          <t>Entity</t>
        </is>
      </c>
      <c r="C11" s="26">
        <f>COUNTIF(RCM!$C$2:$C$228,B11)</f>
        <v/>
      </c>
    </row>
    <row r="12">
      <c r="B12" s="26" t="inlineStr">
        <is>
          <t>ITGC</t>
        </is>
      </c>
      <c r="C12" s="26">
        <f>COUNTIF(RCM!$C$2:$C$228,B12)</f>
        <v/>
      </c>
    </row>
    <row r="13">
      <c r="B13" s="26" t="inlineStr">
        <is>
          <t>Application</t>
        </is>
      </c>
      <c r="C13" s="26">
        <f>COUNTIF(RCM!$C$2:$C$228,B13)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HR-05</t>
        </is>
      </c>
      <c r="B228" s="12" t="inlineStr">
        <is>
          <t>Payroll</t>
        </is>
      </c>
      <c r="C228" s="13" t="inlineStr">
        <is>
          <t>Application</t>
        </is>
      </c>
      <c r="D228" s="12" t="inlineStr">
        <is>
          <t>Human Resources (joiner-mover-leaver / IT access)</t>
        </is>
      </c>
      <c r="E22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8" s="12" t="inlineStr">
        <is>
          <t>Authorization/Segregation of Duties</t>
        </is>
      </c>
      <c r="G22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8" s="13" t="inlineStr">
        <is>
          <t>Prev/Det</t>
        </is>
      </c>
      <c r="I228" s="13" t="inlineStr">
        <is>
          <t>Automated</t>
        </is>
      </c>
      <c r="J228" s="13" t="inlineStr">
        <is>
          <t>Per departure / periodic exception scan</t>
        </is>
      </c>
      <c r="K228" s="12" t="inlineStr">
        <is>
          <t>HR / People Ops; IT Security</t>
        </is>
      </c>
      <c r="L228" s="13" t="inlineStr">
        <is>
          <t>P10</t>
        </is>
      </c>
      <c r="M22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0323, RLS + tenant-leading indexes); /hcm/onboarding UI; cutover/hcm-onboarding.ts (ToE)</t>
        </is>
      </c>
      <c r="N228" s="12" t="inlineStr">
        <is>
          <t>Inspect the access-revocation-pending count vs the completion gate, the hr_admin/exec + reason skip authorisation with its ACCESS_REVOCATION_SKIP audit row, and the offboarding-exceptions detective query.</t>
        </is>
      </c>
      <c r="O22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8" s="12" t="inlineStr">
        <is>
          <t>Offboarding checklist with the access-revocation completion gate + the ACCESS_REVOCATION_SKIP audit trail + the offboarding-exceptions exception register</t>
        </is>
      </c>
      <c r="Q228" s="18" t="inlineStr">
        <is>
          <t>Implemented</t>
        </is>
      </c>
    </row>
  </sheetData>
  <autoFilter ref="A1:Q2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COUNTIF(RCM!$Q$2:$Q$228,B5)</f>
        <v/>
      </c>
    </row>
    <row r="6">
      <c r="B6" s="27" t="inlineStr">
        <is>
          <t>Partial</t>
        </is>
      </c>
      <c r="C6" s="26">
        <f>COUNTIF(RCM!$Q$2:$Q$228,B6)</f>
        <v/>
      </c>
    </row>
    <row r="7">
      <c r="B7" s="28" t="inlineStr">
        <is>
          <t>Gap</t>
        </is>
      </c>
      <c r="C7" s="26">
        <f>COUNTIF(RCM!$Q$2:$Q$228,B7)</f>
        <v/>
      </c>
    </row>
    <row r="8">
      <c r="B8" s="29" t="inlineStr">
        <is>
          <t>Total</t>
        </is>
      </c>
      <c r="C8" s="29">
        <f>COUNTA(RCM!$A$2:$A$228)</f>
        <v/>
      </c>
    </row>
    <row r="10">
      <c r="B10" s="24" t="inlineStr">
        <is>
          <t>By Category</t>
        </is>
      </c>
    </row>
    <row r="11">
      <c r="B11" s="26" t="inlineStr">
        <is>
          <t>Entity</t>
        </is>
      </c>
      <c r="C11" s="26">
        <f>COUNTIF(RCM!$C$2:$C$228,B11)</f>
        <v/>
      </c>
    </row>
    <row r="12">
      <c r="B12" s="26" t="inlineStr">
        <is>
          <t>ITGC</t>
        </is>
      </c>
      <c r="C12" s="26">
        <f>COUNTIF(RCM!$C$2:$C$228,B12)</f>
        <v/>
      </c>
    </row>
    <row r="13">
      <c r="B13" s="26" t="inlineStr">
        <is>
          <t>Application</t>
        </is>
      </c>
      <c r="C13" s="26">
        <f>COUNTIF(RCM!$C$2:$C$228,B13)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2026-07-11T04:10:02Z</dcterms:created>
  <dcterms:modified xsi:type="dcterms:W3CDTF">2026-07-11T04:10:02Z</dcterms:modified>
</cp:coreProperties>
</file>