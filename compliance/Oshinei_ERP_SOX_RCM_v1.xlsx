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 (policies/01-code-of-conduct.md, v1.0),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— register gated 'users'); schema/governance.ts; drizzle/0202_governance.sql; cutover/governance.ts (ToE); policies/01-code-of-conduct.md; policy issuance = HR process</t>
        </is>
      </c>
      <c r="N2" s="12" t="inlineStr">
        <is>
          <t>Inspect signed policy + the acknowledgement register.</t>
        </is>
      </c>
      <c r="O2" s="12" t="inlineStr">
        <is>
          <t>Re-perform: a staff acknowledgement is recorded (idempotent per version) and appears in the permission-gated, tenant-isolated register (governance harness); sample staff have a current acknowledgement.</t>
        </is>
      </c>
      <c r="P2" s="12" t="inlineStr">
        <is>
          <t>Acknowledgement register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 (adopted v1.0) defining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compliance/policies/04-audit-committee-charter.md (adopted v1.0)</t>
        </is>
      </c>
      <c r="N3" s="16" t="inlineStr">
        <is>
          <t>Inspect the charter + quarterly minutes.</t>
        </is>
      </c>
      <c r="O3" s="16" t="inlineStr">
        <is>
          <t>Inspect minutes evidencing ICFR oversight each quarter — holding the committee + minuting it is the remaining [setup] (operating evidence).</t>
        </is>
      </c>
      <c r="P3" s="16" t="inlineStr">
        <is>
          <t>AC charter + minutes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(adopted v1.0) mapped to system roles &amp; thresholds and mirrored in the approval-workflow engine (maker-checker) + GL-05 JE / EXP procurement / REV credit controls.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compliance/policies/03-delegation-of-authority.md §3 (DoA approval matrix ↔ permissions.ts roles + workflow engine); ITGC-AC-09 SoD</t>
        </is>
      </c>
      <c r="N4" s="12" t="inlineStr">
        <is>
          <t>Inspect the DoA matrix; reconcile to RBAC roles + active workflow definitions.</t>
        </is>
      </c>
      <c r="O4" s="12" t="inlineStr">
        <is>
          <t>Sample approvals respect the DoA thresholds + approver ≠ initiator (enforced by the workflow engine / GL-05).</t>
        </is>
      </c>
      <c r="P4" s="12" t="inlineStr">
        <is>
          <t>DoA approval matrix</t>
        </is>
      </c>
      <c r="Q4" s="18" t="inlineStr">
        <is>
          <t>Implemented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(policies/02-whistleblower-policy.md, v1.0)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— gated 'users'); schema/governance.ts; drizzle/0202_governance.sql; cutover/governance.ts (ToE); policies/02-whistleblower-policy.md; hotline operation = audit-committee process</t>
        </is>
      </c>
      <c r="N5" s="16" t="inlineStr">
        <is>
          <t>Inspect hotline setup + the case-log + resolution evidence.</t>
        </is>
      </c>
      <c r="O5" s="16" t="inlineStr">
        <is>
          <t>Re-perform: an (anonymous) report is captured with a case_ref (reporter hidden when anonymity), the audit committee reviews the tenant-isolated case log and advances a case (received→investigating) with a handler recorded; views are permission-gated (governance harness).</t>
        </is>
      </c>
      <c r="P5" s="16" t="inlineStr">
        <is>
          <t>Hotline case log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(adopted v1.0) covering revenue, expenditure, payroll, cash, JE override, master data &amp; access — each fraud scenario mapped to its mitigating RCM control(s) with a residual-risk rating.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compliance/policies/05-fraud-risk-assessment.md §3 (fraud risk register F1–F8 ↔ SoD/GL-05/EXP/REV controls)</t>
        </is>
      </c>
      <c r="N6" s="12" t="inlineStr">
        <is>
          <t>Inspect the fraud risk register + ratings.</t>
        </is>
      </c>
      <c r="O6" s="12" t="inlineStr">
        <is>
          <t>Inspect that identified fraud risks map to controls in this RCM (register F1–F8) and residual risk is rated.</t>
        </is>
      </c>
      <c r="P6" s="12" t="inlineStr">
        <is>
          <t>Fraud risk register</t>
        </is>
      </c>
      <c r="Q6" s="18" t="inlineStr">
        <is>
          <t>Implemented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or received without authorization.</t>
        </is>
      </c>
      <c r="F70" s="12" t="inlineStr">
        <is>
          <t>Authorization</t>
        </is>
      </c>
      <c r="G70" s="12" t="inlineStr">
        <is>
          <t>PR/PO approval workflow (maker-checker) — the approval-workflow engine routes by amount threshold (DoA matrix, ELC-03) to an approver ≠ requester (and enforces SoD); and goods receipt is HARD-GATED on PO approval (a GR against a Pending/Draft/Rejected/Cancelled PO is blocked, PO_NOT_APPROVED) so an unapproved PO can't trigger a receipt + AP liability.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workflow/workflow.service.ts (amount-threshold routing + maker-checker + SoD); procurement.service.ts createGr (PO-approval gate); cutover/compliance.ts (ToE)</t>
        </is>
      </c>
      <c r="N70" s="12" t="inlineStr">
        <is>
          <t>Inspect approval routing + thresholds + the GR-on-approval gate.</t>
        </is>
      </c>
      <c r="O70" s="12" t="inlineStr">
        <is>
          <t>Re-perform: a PR/PO is approved by an authorized approver ≠ requester; a GR against an unapproved PO is blocked (403 PO_NOT_APPROVED).</t>
        </is>
      </c>
      <c r="P70" s="12" t="inlineStr">
        <is>
          <t>Approval trail + GR gate ToE</t>
        </is>
      </c>
      <c r="Q70" s="18" t="inlineStr">
        <is>
          <t>Implemented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counts adjusted without independent review.</t>
        </is>
      </c>
      <c r="F78" s="12" t="inlineStr">
        <is>
          <t>Existence</t>
        </is>
      </c>
      <c r="G78" s="12" t="inlineStr">
        <is>
          <t>Periodic stocktake / cycle count → variance computed → posted with an independent review (maker-checker, SoD R11): the person who COUNTED (counted_by) may not post/approve their own count, so the variance is reviewed before it adjusts on-hand + GL. Posting is permission-gated and audit-logged.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stock-ops/stock-ops.service.ts postStocktake (counter ≠ poster gate, SOD_SELF_APPROVAL); cutover/stock-ops.ts (ToE)</t>
        </is>
      </c>
      <c r="N78" s="12" t="inlineStr">
        <is>
          <t>Inspect the count → variance → independent-review/post flow.</t>
        </is>
      </c>
      <c r="O78" s="12" t="inlineStr">
        <is>
          <t>Re-perform: the counter posting their own stocktake is blocked (403 SOD_SELF_APPROVAL); an independent reviewer posts the variance.</t>
        </is>
      </c>
      <c r="P78" s="12" t="inlineStr">
        <is>
          <t>Variance review maker-checker ToE</t>
        </is>
      </c>
      <c r="Q78" s="18" t="inlineStr">
        <is>
          <t>Implemented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4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4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4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REC-03</t>
        </is>
      </c>
      <c r="B3" s="13" t="inlineStr">
        <is>
          <t>Reconciliation</t>
        </is>
      </c>
      <c r="C3" s="12" t="inlineStr">
        <is>
          <t>IC pairing + GL mirroring + consolidation maker-checker (preparer ≠ poster) built; add a dedicated per-period IC reconciliation sign-off gate before elimination.</t>
        </is>
      </c>
      <c r="D3" s="12" t="inlineStr">
        <is>
          <t>Add an IC reconciliation period (open/prepare/approve) gating consolidation.</t>
        </is>
      </c>
      <c r="E3" s="13" t="inlineStr">
        <is>
          <t>Group Controller</t>
        </is>
      </c>
      <c r="F3" s="13" t="inlineStr">
        <is>
          <t>Phase 2-3</t>
        </is>
      </c>
      <c r="G3" s="13" t="inlineStr">
        <is>
          <t>Month 4-6</t>
        </is>
      </c>
      <c r="H3" s="21" t="inlineStr">
        <is>
          <t>Low</t>
        </is>
      </c>
    </row>
    <row r="4">
      <c r="A4" s="15" t="inlineStr">
        <is>
          <t>TAX-03</t>
        </is>
      </c>
      <c r="B4" s="17" t="inlineStr">
        <is>
          <t>Tax</t>
        </is>
      </c>
      <c r="C4" s="16" t="inlineStr">
        <is>
          <t>WHT certificates (50-ทวิ) + ภ.ง.ด.3/53 reports built; integrate AP-payment WHT calc and a WHT-to-GL (2360) tie-out.</t>
        </is>
      </c>
      <c r="D4" s="16" t="inlineStr">
        <is>
          <t>Integrate AP WHT calc + posting to GL 2360; add a monthly PND→GL tie-out report.</t>
        </is>
      </c>
      <c r="E4" s="17" t="inlineStr">
        <is>
          <t>Tax</t>
        </is>
      </c>
      <c r="F4" s="17" t="inlineStr">
        <is>
          <t>Phase 2-3</t>
        </is>
      </c>
      <c r="G4" s="17" t="inlineStr">
        <is>
          <t>Month 4-6</t>
        </is>
      </c>
      <c r="H4" s="22" t="inlineStr">
        <is>
          <t>Medium</t>
        </is>
      </c>
    </row>
    <row r="5">
      <c r="A5" s="11" t="inlineStr">
        <is>
          <t>ELC-01</t>
        </is>
      </c>
      <c r="B5" s="13" t="inlineStr">
        <is>
          <t>Entity-Level</t>
        </is>
      </c>
      <c r="C5" s="12" t="inlineStr">
        <is>
          <t>Code-of-conduct policy adopted (v1.0) + register format defined; collect the annual signed acknowledgements (operating evidence).</t>
        </is>
      </c>
      <c r="D5" s="12" t="inlineStr">
        <is>
          <t>Run the annual acknowledgement sign-off; retain the signed register.</t>
        </is>
      </c>
      <c r="E5" s="13" t="inlineStr">
        <is>
          <t>CEO / HR</t>
        </is>
      </c>
      <c r="F5" s="13" t="inlineStr">
        <is>
          <t>Phase 1</t>
        </is>
      </c>
      <c r="G5" s="13" t="inlineStr">
        <is>
          <t>Month 1-2</t>
        </is>
      </c>
      <c r="H5" s="22" t="inlineStr">
        <is>
          <t>Medium</t>
        </is>
      </c>
    </row>
    <row r="6">
      <c r="A6" s="15" t="inlineStr">
        <is>
          <t>ELC-02</t>
        </is>
      </c>
      <c r="B6" s="17" t="inlineStr">
        <is>
          <t>Entity-Level</t>
        </is>
      </c>
      <c r="C6" s="16" t="inlineStr">
        <is>
          <t>Audit-committee charter adopted (v1.0); hold the quarterly ICFR review and minute it (operating evidence).</t>
        </is>
      </c>
      <c r="D6" s="16" t="inlineStr">
        <is>
          <t>Convene the audit committee; retain quarterly ICFR-oversight minutes.</t>
        </is>
      </c>
      <c r="E6" s="17" t="inlineStr">
        <is>
          <t>Board</t>
        </is>
      </c>
      <c r="F6" s="17" t="inlineStr">
        <is>
          <t>Phase 1</t>
        </is>
      </c>
      <c r="G6" s="17" t="inlineStr">
        <is>
          <t>Month 1-2</t>
        </is>
      </c>
      <c r="H6" s="22" t="inlineStr">
        <is>
          <t>Medium</t>
        </is>
      </c>
    </row>
    <row r="7">
      <c r="A7" s="11" t="inlineStr">
        <is>
          <t>ELC-04</t>
        </is>
      </c>
      <c r="B7" s="13" t="inlineStr">
        <is>
          <t>Entity-Level</t>
        </is>
      </c>
      <c r="C7" s="12" t="inlineStr">
        <is>
          <t>Whistleblower / non-retaliation policy adopted (v1.0); stand up the external anonymous reporting channel + case log.</t>
        </is>
      </c>
      <c r="D7" s="12" t="inlineStr">
        <is>
          <t>Contract/stand up the anonymous hotline; retain the case log.</t>
        </is>
      </c>
      <c r="E7" s="13" t="inlineStr">
        <is>
          <t>Audit Cttee</t>
        </is>
      </c>
      <c r="F7" s="13" t="inlineStr">
        <is>
          <t>Phase 1</t>
        </is>
      </c>
      <c r="G7" s="13" t="inlineStr">
        <is>
          <t>Month 2</t>
        </is>
      </c>
      <c r="H7" s="22" t="inlineStr">
        <is>
          <t>Medium</t>
        </is>
      </c>
    </row>
  </sheetData>
  <autoFilter ref="A2:H7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3" t="inlineStr">
        <is>
          <t>Control Activities</t>
        </is>
      </c>
      <c r="B13" s="11" t="n">
        <v>11</v>
      </c>
      <c r="C13" s="23" t="inlineStr">
        <is>
          <t>Selects &amp; develops GENERAL CONTROLS over technology (ITGC)</t>
        </is>
      </c>
      <c r="D13" s="23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4" t="inlineStr">
        <is>
          <t>ICFR Readiness — Control Summary</t>
        </is>
      </c>
    </row>
    <row r="4">
      <c r="B4" s="25" t="inlineStr">
        <is>
          <t>By Status</t>
        </is>
      </c>
    </row>
    <row r="5">
      <c r="B5" s="26" t="inlineStr">
        <is>
          <t>Implemented</t>
        </is>
      </c>
      <c r="C5" s="27">
        <f>COUNTIF(RCM!$Q$2:$Q$155,B5)</f>
        <v/>
      </c>
    </row>
    <row r="6">
      <c r="B6" s="28" t="inlineStr">
        <is>
          <t>Partial</t>
        </is>
      </c>
      <c r="C6" s="27">
        <f>COUNTIF(RCM!$Q$2:$Q$155,B6)</f>
        <v/>
      </c>
    </row>
    <row r="7">
      <c r="B7" s="29" t="inlineStr">
        <is>
          <t>Gap</t>
        </is>
      </c>
      <c r="C7" s="27">
        <f>COUNTIF(RCM!$Q$2:$Q$155,B7)</f>
        <v/>
      </c>
    </row>
    <row r="8">
      <c r="B8" s="30" t="inlineStr">
        <is>
          <t>Total</t>
        </is>
      </c>
      <c r="C8" s="30">
        <f>COUNTA(RCM!$A$2:$A$155)</f>
        <v/>
      </c>
    </row>
    <row r="10">
      <c r="B10" s="25" t="inlineStr">
        <is>
          <t>By Category</t>
        </is>
      </c>
    </row>
    <row r="11">
      <c r="B11" s="27" t="inlineStr">
        <is>
          <t>Entity</t>
        </is>
      </c>
      <c r="C11" s="27">
        <f>COUNTIF(RCM!$C$2:$C$155,B11)</f>
        <v/>
      </c>
    </row>
    <row r="12">
      <c r="B12" s="27" t="inlineStr">
        <is>
          <t>ITGC</t>
        </is>
      </c>
      <c r="C12" s="27">
        <f>COUNTIF(RCM!$C$2:$C$155,B12)</f>
        <v/>
      </c>
    </row>
    <row r="13">
      <c r="B13" s="27" t="inlineStr">
        <is>
          <t>Application</t>
        </is>
      </c>
      <c r="C13" s="27">
        <f>COUNTIF(RCM!$C$2:$C$155,B13)</f>
        <v/>
      </c>
    </row>
    <row r="15">
      <c r="B15" s="30" t="inlineStr">
        <is>
          <t>% Implemented</t>
        </is>
      </c>
      <c r="C15" s="31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2026-06-30T09:12:46Z</dcterms:created>
  <dcterms:modified xmlns:dcterms="http://purl.org/dc/terms/" xmlns:xsi="http://www.w3.org/2001/XMLSchema-instance" xsi:type="dcterms:W3CDTF">2026-06-30T09:12:46Z</dcterms:modified>
</cp:coreProperties>
</file>