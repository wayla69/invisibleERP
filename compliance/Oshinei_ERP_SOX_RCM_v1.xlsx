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'RCM'!$A$1:$Q$182</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GL-01</t>
        </is>
      </c>
      <c r="B129" s="16" t="inlineStr">
        <is>
          <t>General Ledger</t>
        </is>
      </c>
      <c r="C129" s="17" t="inlineStr">
        <is>
          <t>Application</t>
        </is>
      </c>
      <c r="D129" s="16" t="inlineStr">
        <is>
          <t>All</t>
        </is>
      </c>
      <c r="E129" s="16" t="inlineStr">
        <is>
          <t>Unbalanced / one-sided journal entries.</t>
        </is>
      </c>
      <c r="F129" s="16" t="inlineStr">
        <is>
          <t>Accuracy</t>
        </is>
      </c>
      <c r="G129" s="16" t="inlineStr">
        <is>
          <t>Double-entry balanced-by-construction — Σdebit=Σcredit enforced; each line single-sided &amp; non-negative.</t>
        </is>
      </c>
      <c r="H129" s="17" t="inlineStr">
        <is>
          <t>Prev</t>
        </is>
      </c>
      <c r="I129" s="17" t="inlineStr">
        <is>
          <t>Automated</t>
        </is>
      </c>
      <c r="J129" s="17" t="inlineStr">
        <is>
          <t>Per JE</t>
        </is>
      </c>
      <c r="K129" s="16" t="inlineStr">
        <is>
          <t>Controller</t>
        </is>
      </c>
      <c r="L129" s="17" t="inlineStr">
        <is>
          <t>P10</t>
        </is>
      </c>
      <c r="M129" s="16" t="inlineStr">
        <is>
          <t>ledger.service.ts (postEntry — UNBALANCED / INVALID_LINE)</t>
        </is>
      </c>
      <c r="N129" s="16" t="inlineStr">
        <is>
          <t>Inspect balance + line invariants.</t>
        </is>
      </c>
      <c r="O129" s="16" t="inlineStr">
        <is>
          <t>Attempt unbalanced JE → rejected.</t>
        </is>
      </c>
      <c r="P129" s="16" t="inlineStr">
        <is>
          <t>Invariant test</t>
        </is>
      </c>
      <c r="Q129" s="18" t="inlineStr">
        <is>
          <t>Implemented</t>
        </is>
      </c>
    </row>
    <row r="130">
      <c r="A130" s="11" t="inlineStr">
        <is>
          <t>GL-02</t>
        </is>
      </c>
      <c r="B130" s="12" t="inlineStr">
        <is>
          <t>General Ledger</t>
        </is>
      </c>
      <c r="C130" s="13" t="inlineStr">
        <is>
          <t>Application</t>
        </is>
      </c>
      <c r="D130" s="12" t="inlineStr">
        <is>
          <t>All</t>
        </is>
      </c>
      <c r="E130" s="12" t="inlineStr">
        <is>
          <t>Postings to a closed period distort reported results.</t>
        </is>
      </c>
      <c r="F130" s="12" t="inlineStr">
        <is>
          <t>Cutoff</t>
        </is>
      </c>
      <c r="G130" s="12" t="inlineStr">
        <is>
          <t>Period-close lockout — postings to a CLOSED fiscal period are rejected (per-tenant calendar).</t>
        </is>
      </c>
      <c r="H130" s="13" t="inlineStr">
        <is>
          <t>Prev</t>
        </is>
      </c>
      <c r="I130" s="13" t="inlineStr">
        <is>
          <t>Automated</t>
        </is>
      </c>
      <c r="J130" s="13" t="inlineStr">
        <is>
          <t>Per JE</t>
        </is>
      </c>
      <c r="K130" s="12" t="inlineStr">
        <is>
          <t>Controller</t>
        </is>
      </c>
      <c r="L130" s="13" t="inlineStr">
        <is>
          <t>P10</t>
        </is>
      </c>
      <c r="M130" s="12" t="inlineStr">
        <is>
          <t>ledger.service.ts (postEntry PERIOD_CLOSED); fiscal_periods</t>
        </is>
      </c>
      <c r="N130" s="12" t="inlineStr">
        <is>
          <t>Inspect close check.</t>
        </is>
      </c>
      <c r="O130" s="12" t="inlineStr">
        <is>
          <t>Post to closed period → rejected; review exceptions.</t>
        </is>
      </c>
      <c r="P130" s="12" t="inlineStr">
        <is>
          <t>Close-lock test</t>
        </is>
      </c>
      <c r="Q130" s="18" t="inlineStr">
        <is>
          <t>Implemented</t>
        </is>
      </c>
    </row>
    <row r="131">
      <c r="A131" s="15" t="inlineStr">
        <is>
          <t>GL-03</t>
        </is>
      </c>
      <c r="B131" s="16" t="inlineStr">
        <is>
          <t>General Ledger</t>
        </is>
      </c>
      <c r="C131" s="17" t="inlineStr">
        <is>
          <t>Application</t>
        </is>
      </c>
      <c r="D131" s="16" t="inlineStr">
        <is>
          <t>Equity</t>
        </is>
      </c>
      <c r="E131" s="16" t="inlineStr">
        <is>
          <t>Unauthorized year-end close / RE roll.</t>
        </is>
      </c>
      <c r="F131" s="16" t="inlineStr">
        <is>
          <t>Cutoff/Authorization</t>
        </is>
      </c>
      <c r="G131" s="16" t="inlineStr">
        <is>
          <t>Year-end close restricted to 'exec'; closing entries roll to retained earnings.</t>
        </is>
      </c>
      <c r="H131" s="17" t="inlineStr">
        <is>
          <t>Prev</t>
        </is>
      </c>
      <c r="I131" s="17" t="inlineStr">
        <is>
          <t>Auto+Manual</t>
        </is>
      </c>
      <c r="J131" s="17" t="inlineStr">
        <is>
          <t>Annual</t>
        </is>
      </c>
      <c r="K131" s="16" t="inlineStr">
        <is>
          <t>CFO / Controller</t>
        </is>
      </c>
      <c r="L131" s="17" t="inlineStr">
        <is>
          <t>P10/P11</t>
        </is>
      </c>
      <c r="M131" s="16" t="inlineStr">
        <is>
          <t>ledger.controller.ts (close-year @Permissions exec); closeYear</t>
        </is>
      </c>
      <c r="N131" s="16" t="inlineStr">
        <is>
          <t>Inspect permission + closing logic.</t>
        </is>
      </c>
      <c r="O131" s="16" t="inlineStr">
        <is>
          <t>Attempt close w/o exec → 403; review annual close.</t>
        </is>
      </c>
      <c r="P131" s="16" t="inlineStr">
        <is>
          <t>Close package</t>
        </is>
      </c>
      <c r="Q131" s="18" t="inlineStr">
        <is>
          <t>Implemented</t>
        </is>
      </c>
    </row>
    <row r="132">
      <c r="A132" s="11" t="inlineStr">
        <is>
          <t>GL-04</t>
        </is>
      </c>
      <c r="B132" s="12" t="inlineStr">
        <is>
          <t>General Ledger</t>
        </is>
      </c>
      <c r="C132" s="13" t="inlineStr">
        <is>
          <t>Application</t>
        </is>
      </c>
      <c r="D132" s="12" t="inlineStr">
        <is>
          <t>All</t>
        </is>
      </c>
      <c r="E132" s="12" t="inlineStr">
        <is>
          <t>Concurrent posting double-books the same source doc.</t>
        </is>
      </c>
      <c r="F132" s="12" t="inlineStr">
        <is>
          <t>Completeness/Accuracy</t>
        </is>
      </c>
      <c r="G132" s="12" t="inlineStr">
        <is>
          <t>Ledger idempotency — UNIQUE (tenant,source,source_ref,ledger) + ON CONFLICT DO NOTHING in postEntry.</t>
        </is>
      </c>
      <c r="H132" s="13" t="inlineStr">
        <is>
          <t>Prev</t>
        </is>
      </c>
      <c r="I132" s="13" t="inlineStr">
        <is>
          <t>Automated</t>
        </is>
      </c>
      <c r="J132" s="13" t="inlineStr">
        <is>
          <t>Per JE</t>
        </is>
      </c>
      <c r="K132" s="12" t="inlineStr">
        <is>
          <t>Eng Lead / Controller</t>
        </is>
      </c>
      <c r="L132" s="13" t="inlineStr">
        <is>
          <t>P10</t>
        </is>
      </c>
      <c r="M132" s="12" t="inlineStr">
        <is>
          <t>schema/ledger.ts (ux_je_idem); ledger.service.ts; migration 0058</t>
        </is>
      </c>
      <c r="N132" s="12" t="inlineStr">
        <is>
          <t>Inspect unique index + conflict handling.</t>
        </is>
      </c>
      <c r="O132" s="12" t="inlineStr">
        <is>
          <t>Concurrent identical post → single entry.</t>
        </is>
      </c>
      <c r="P132" s="12" t="inlineStr">
        <is>
          <t>Dedup test</t>
        </is>
      </c>
      <c r="Q132" s="18" t="inlineStr">
        <is>
          <t>Implemented</t>
        </is>
      </c>
    </row>
    <row r="133">
      <c r="A133" s="15" t="inlineStr">
        <is>
          <t>GL-05</t>
        </is>
      </c>
      <c r="B133" s="16" t="inlineStr">
        <is>
          <t>General Ledger</t>
        </is>
      </c>
      <c r="C133" s="17" t="inlineStr">
        <is>
          <t>Application</t>
        </is>
      </c>
      <c r="D133" s="16" t="inlineStr">
        <is>
          <t>All</t>
        </is>
      </c>
      <c r="E133" s="16" t="inlineStr">
        <is>
          <t>Manual JE posted without independent review (override risk).</t>
        </is>
      </c>
      <c r="F133" s="16" t="inlineStr">
        <is>
          <t>Authorization</t>
        </is>
      </c>
      <c r="G133" s="16" t="inlineStr">
        <is>
          <t>Manual journal-entry maker-checker — preparer ≠ approver before a manual JE posts.</t>
        </is>
      </c>
      <c r="H133" s="17" t="inlineStr">
        <is>
          <t>Prev</t>
        </is>
      </c>
      <c r="I133" s="17" t="inlineStr">
        <is>
          <t>Auto+Manual</t>
        </is>
      </c>
      <c r="J133" s="17" t="inlineStr">
        <is>
          <t>Per manual JE</t>
        </is>
      </c>
      <c r="K133" s="16" t="inlineStr">
        <is>
          <t>Controller</t>
        </is>
      </c>
      <c r="L133" s="17" t="inlineStr">
        <is>
          <t>P10</t>
        </is>
      </c>
      <c r="M133" s="16" t="inlineStr">
        <is>
          <t>ledger.service.ts (postEntry pendingApproval→Draft; approveEntry preparer≠approver; rejectEntry); ledger.controller.ts (gl_post posts / gl_close approves); cutover/compliance.ts (ToE)</t>
        </is>
      </c>
      <c r="N133" s="16" t="inlineStr">
        <is>
          <t>Inspect JE approval routing.</t>
        </is>
      </c>
      <c r="O133" s="16" t="inlineStr">
        <is>
          <t>Sample manual JEs: approver ≠ preparer; Draft excluded from balances until approved (re-performed by the harness).</t>
        </is>
      </c>
      <c r="P133" s="16" t="inlineStr">
        <is>
          <t>JE approvals</t>
        </is>
      </c>
      <c r="Q133" s="18" t="inlineStr">
        <is>
          <t>Implemented</t>
        </is>
      </c>
    </row>
    <row r="134">
      <c r="A134" s="11" t="inlineStr">
        <is>
          <t>GL-06</t>
        </is>
      </c>
      <c r="B134" s="12" t="inlineStr">
        <is>
          <t>General Ledger</t>
        </is>
      </c>
      <c r="C134" s="13" t="inlineStr">
        <is>
          <t>Application</t>
        </is>
      </c>
      <c r="D134" s="12" t="inlineStr">
        <is>
          <t>All</t>
        </is>
      </c>
      <c r="E134" s="12" t="inlineStr">
        <is>
          <t>Operator mis-posts to another tenant's books.</t>
        </is>
      </c>
      <c r="F134" s="12" t="inlineStr">
        <is>
          <t>Validity</t>
        </is>
      </c>
      <c r="G134" s="12" t="inlineStr">
        <is>
          <t>HQ cross-tenant posting gated to Admin (explicit tenant override); others pinned to context (also RLS).</t>
        </is>
      </c>
      <c r="H134" s="13" t="inlineStr">
        <is>
          <t>Prev</t>
        </is>
      </c>
      <c r="I134" s="13" t="inlineStr">
        <is>
          <t>Automated</t>
        </is>
      </c>
      <c r="J134" s="13" t="inlineStr">
        <is>
          <t>Per JE</t>
        </is>
      </c>
      <c r="K134" s="12" t="inlineStr">
        <is>
          <t>Eng Lead</t>
        </is>
      </c>
      <c r="L134" s="13" t="inlineStr">
        <is>
          <t>P10/P11</t>
        </is>
      </c>
      <c r="M134" s="12" t="inlineStr">
        <is>
          <t>ledger.controller.ts (hqTenant)</t>
        </is>
      </c>
      <c r="N134" s="12" t="inlineStr">
        <is>
          <t>Inspect Admin gating of tenant_id.</t>
        </is>
      </c>
      <c r="O134" s="12" t="inlineStr">
        <is>
          <t>Non-Admin tenant override ignored; Admin audited.</t>
        </is>
      </c>
      <c r="P134" s="12" t="inlineStr">
        <is>
          <t>Override test</t>
        </is>
      </c>
      <c r="Q134" s="18" t="inlineStr">
        <is>
          <t>Implemented</t>
        </is>
      </c>
    </row>
    <row r="135">
      <c r="A135" s="15" t="inlineStr">
        <is>
          <t>GL-07</t>
        </is>
      </c>
      <c r="B135" s="16" t="inlineStr">
        <is>
          <t>General Ledger</t>
        </is>
      </c>
      <c r="C135" s="17" t="inlineStr">
        <is>
          <t>Application</t>
        </is>
      </c>
      <c r="D135" s="16" t="inlineStr">
        <is>
          <t>Cash</t>
        </is>
      </c>
      <c r="E135" s="16" t="inlineStr">
        <is>
          <t>Statement of cash flows mis-stated or doesn't tie to the change in cash.</t>
        </is>
      </c>
      <c r="F135" s="16" t="inlineStr">
        <is>
          <t>Accuracy/Completeness</t>
        </is>
      </c>
      <c r="G13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5" s="17" t="inlineStr">
        <is>
          <t>Det</t>
        </is>
      </c>
      <c r="I135" s="17" t="inlineStr">
        <is>
          <t>Automated</t>
        </is>
      </c>
      <c r="J135" s="17" t="inlineStr">
        <is>
          <t>Per period</t>
        </is>
      </c>
      <c r="K135" s="16" t="inlineStr">
        <is>
          <t>Controller</t>
        </is>
      </c>
      <c r="L135" s="17" t="inlineStr">
        <is>
          <t>P10</t>
        </is>
      </c>
      <c r="M135" s="16" t="inlineStr">
        <is>
          <t>ledger.service.ts (cashFlowStatement, cashFlowDirect, cashFlowForecast); ledger.controller.ts (GET cash-flow, cash-flow-direct, cash-flow-forecast); cutover/basics.ts (ToE)</t>
        </is>
      </c>
      <c r="N135" s="16" t="inlineStr">
        <is>
          <t>Inspect SCF derivation + reconciliation flag; inspect direct-method bucketing and forecast projection.</t>
        </is>
      </c>
      <c r="O135" s="16" t="inlineStr">
        <is>
          <t>Run cash-flow over a seeded period — activities tie to the movement in cash; CLOSE excluded; direct method ties to the same operating cash and Δcash; forecast buckets open AR/AP by due week (re-performed by the harness).</t>
        </is>
      </c>
      <c r="P135" s="16" t="inlineStr">
        <is>
          <t>Cash-flow reconciliation; direct-method buckets; forecast schedule</t>
        </is>
      </c>
      <c r="Q135" s="18" t="inlineStr">
        <is>
          <t>Implemented</t>
        </is>
      </c>
    </row>
    <row r="136">
      <c r="A136" s="11" t="inlineStr">
        <is>
          <t>GL-08</t>
        </is>
      </c>
      <c r="B136" s="12" t="inlineStr">
        <is>
          <t>General Ledger</t>
        </is>
      </c>
      <c r="C136" s="13" t="inlineStr">
        <is>
          <t>Application</t>
        </is>
      </c>
      <c r="D136" s="12" t="inlineStr">
        <is>
          <t>All</t>
        </is>
      </c>
      <c r="E136" s="12" t="inlineStr">
        <is>
          <t>Standing/period accruals missed, posted unbalanced, or posted without approval; manual re-keying error.</t>
        </is>
      </c>
      <c r="F136" s="12" t="inlineStr">
        <is>
          <t>Completeness/Accuracy/Authorization</t>
        </is>
      </c>
      <c r="G13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6" s="13" t="inlineStr">
        <is>
          <t>Prev</t>
        </is>
      </c>
      <c r="I136" s="13" t="inlineStr">
        <is>
          <t>Automated</t>
        </is>
      </c>
      <c r="J136" s="13" t="inlineStr">
        <is>
          <t>Per due date / per template</t>
        </is>
      </c>
      <c r="K136" s="12" t="inlineStr">
        <is>
          <t>Controller</t>
        </is>
      </c>
      <c r="L136" s="13" t="inlineStr">
        <is>
          <t>P10</t>
        </is>
      </c>
      <c r="M13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6" s="12" t="inlineStr">
        <is>
          <t>Inspect template balance validation + scheduled posting as Draft + idempotency.</t>
        </is>
      </c>
      <c r="O136" s="12" t="inlineStr">
        <is>
          <t>Unbalanced template → UNBALANCED; due template posts a Draft JE (excluded from TB) into the pending queue; re-run posts nothing; a second user approves → accrual hits the GL (re-performed by the harness).</t>
        </is>
      </c>
      <c r="P136" s="12" t="inlineStr">
        <is>
          <t>Recurring-journal templates; scheduled run log; JE approvals</t>
        </is>
      </c>
      <c r="Q136" s="18" t="inlineStr">
        <is>
          <t>Implemented</t>
        </is>
      </c>
    </row>
    <row r="137">
      <c r="A137" s="15" t="inlineStr">
        <is>
          <t>GL-09</t>
        </is>
      </c>
      <c r="B137" s="16" t="inlineStr">
        <is>
          <t>General Ledger</t>
        </is>
      </c>
      <c r="C137" s="17" t="inlineStr">
        <is>
          <t>Application</t>
        </is>
      </c>
      <c r="D137" s="16" t="inlineStr">
        <is>
          <t>Prepaid expenses; Operating expense</t>
        </is>
      </c>
      <c r="E137" s="16" t="inlineStr">
        <is>
          <t>Prepaid expense not amortized over its term — expense mis-stated, prepaid asset overstated.</t>
        </is>
      </c>
      <c r="F137" s="16" t="inlineStr">
        <is>
          <t>Accuracy/Completeness</t>
        </is>
      </c>
      <c r="G13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7" s="17" t="inlineStr">
        <is>
          <t>Det</t>
        </is>
      </c>
      <c r="I137" s="17" t="inlineStr">
        <is>
          <t>Automated</t>
        </is>
      </c>
      <c r="J137" s="17" t="inlineStr">
        <is>
          <t>Per period / per schedule</t>
        </is>
      </c>
      <c r="K137" s="16" t="inlineStr">
        <is>
          <t>Controller</t>
        </is>
      </c>
      <c r="L137" s="17" t="inlineStr">
        <is>
          <t>P10</t>
        </is>
      </c>
      <c r="M137" s="16" t="inlineStr">
        <is>
          <t>ledger.service.ts (createPrepaid, runDuePrepaid); ledger.controller.ts (gl_post); bi.service.ts (gl_prepaid_amortize); schema/ledger.ts (prepaid_schedules) + migration 0120; cutover/basics.ts (ToE)</t>
        </is>
      </c>
      <c r="N137" s="16" t="inlineStr">
        <is>
          <t>Inspect amortization slice + final-period remainder + idempotency.</t>
        </is>
      </c>
      <c r="O137" s="16" t="inlineStr">
        <is>
          <t>Register a 12-month prepaid; run amortizes 1/12 to expense; re-run posts nothing (re-performed by the harness).</t>
        </is>
      </c>
      <c r="P137" s="16" t="inlineStr">
        <is>
          <t>Prepaid schedules; amortization run log</t>
        </is>
      </c>
      <c r="Q137" s="18" t="inlineStr">
        <is>
          <t>Implemented</t>
        </is>
      </c>
    </row>
    <row r="138">
      <c r="A138" s="11" t="inlineStr">
        <is>
          <t>GL-10</t>
        </is>
      </c>
      <c r="B138" s="12" t="inlineStr">
        <is>
          <t>General Ledger</t>
        </is>
      </c>
      <c r="C138" s="13" t="inlineStr">
        <is>
          <t>Application</t>
        </is>
      </c>
      <c r="D138" s="12" t="inlineStr">
        <is>
          <t>All</t>
        </is>
      </c>
      <c r="E13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8" s="12" t="inlineStr">
        <is>
          <t>Completeness/Accuracy/Presentation</t>
        </is>
      </c>
      <c r="G13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8" s="13" t="inlineStr">
        <is>
          <t>Prev</t>
        </is>
      </c>
      <c r="I138" s="13" t="inlineStr">
        <is>
          <t>Automated</t>
        </is>
      </c>
      <c r="J138" s="13" t="inlineStr">
        <is>
          <t>At company creation / per pack adopt</t>
        </is>
      </c>
      <c r="K138" s="12" t="inlineStr">
        <is>
          <t>Controller</t>
        </is>
      </c>
      <c r="L138" s="13" t="inlineStr">
        <is>
          <t>P10</t>
        </is>
      </c>
      <c r="M13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8" s="12" t="inlineStr">
        <is>
          <t>Inspect the boot subset assertion + signup provisioning + the overlay-is-presentation-only read path.</t>
        </is>
      </c>
      <c r="O13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8" s="12" t="inlineStr">
        <is>
          <t>Industry templates; tenant_accounts overlay; signup provisioning log</t>
        </is>
      </c>
      <c r="Q138" s="18" t="inlineStr">
        <is>
          <t>Implemented</t>
        </is>
      </c>
    </row>
    <row r="139">
      <c r="A139" s="15" t="inlineStr">
        <is>
          <t>GL-11</t>
        </is>
      </c>
      <c r="B139" s="16" t="inlineStr">
        <is>
          <t>General Ledger</t>
        </is>
      </c>
      <c r="C139" s="17" t="inlineStr">
        <is>
          <t>Application</t>
        </is>
      </c>
      <c r="D139" s="16" t="inlineStr">
        <is>
          <t>All</t>
        </is>
      </c>
      <c r="E13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9" s="16" t="inlineStr">
        <is>
          <t>Authorization/Completeness/Accuracy</t>
        </is>
      </c>
      <c r="G13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9" s="17" t="inlineStr">
        <is>
          <t>Prev</t>
        </is>
      </c>
      <c r="I139" s="17" t="inlineStr">
        <is>
          <t>Automated</t>
        </is>
      </c>
      <c r="J139" s="17" t="inlineStr">
        <is>
          <t>Event-driven</t>
        </is>
      </c>
      <c r="K139" s="16" t="inlineStr">
        <is>
          <t>Financial Controller / Platform Admin</t>
        </is>
      </c>
      <c r="L139" s="17" t="inlineStr">
        <is>
          <t>P10</t>
        </is>
      </c>
      <c r="M13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9" s="16" t="inlineStr">
        <is>
          <t>Inspect the Admin/HQ gate on canonical writes (COA_ADMIN_ONLY), the RLS-scoped overlay curation, and the CODE_HAS_POSTINGS / ACCOUNT_HAS_BALANCE / CONTROL_ACCOUNT guards.</t>
        </is>
      </c>
      <c r="O13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9" s="16" t="inlineStr">
        <is>
          <t>CoA change log (audit_log); compliance GL-11 ToE; control-account guard test</t>
        </is>
      </c>
      <c r="Q139" s="18" t="inlineStr">
        <is>
          <t>Implemented</t>
        </is>
      </c>
    </row>
    <row r="140">
      <c r="A140" s="11" t="inlineStr">
        <is>
          <t>GL-12</t>
        </is>
      </c>
      <c r="B140" s="12" t="inlineStr">
        <is>
          <t>General Ledger</t>
        </is>
      </c>
      <c r="C140" s="13" t="inlineStr">
        <is>
          <t>Application</t>
        </is>
      </c>
      <c r="D140" s="12" t="inlineStr">
        <is>
          <t>All</t>
        </is>
      </c>
      <c r="E140" s="12" t="inlineStr">
        <is>
          <t>Account-assignment errors introduced by scattered inline account-code literals in service code; a tenant needing a different account for a given business event has no mechanism to override without a code change.</t>
        </is>
      </c>
      <c r="F140" s="12" t="inlineStr">
        <is>
          <t>Authorization/Accuracy</t>
        </is>
      </c>
      <c r="G14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0" s="13" t="inlineStr">
        <is>
          <t>Prev</t>
        </is>
      </c>
      <c r="I140" s="13" t="inlineStr">
        <is>
          <t>Automated</t>
        </is>
      </c>
      <c r="J140" s="13" t="inlineStr">
        <is>
          <t>Event-driven</t>
        </is>
      </c>
      <c r="K140" s="12" t="inlineStr">
        <is>
          <t>Financial Controller</t>
        </is>
      </c>
      <c r="L140" s="13" t="inlineStr">
        <is>
          <t>P10</t>
        </is>
      </c>
      <c r="M14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0" s="12" t="inlineStr">
        <is>
          <t>Inspect the rule-resolution logic + NO_POSTING_RULE fast-fail + tenant-shadow logic + gl_posting_rules permission gate.</t>
        </is>
      </c>
      <c r="O14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0" s="12" t="inlineStr">
        <is>
          <t>Posting-rule change log; preview dry-run; harness golden snapshot</t>
        </is>
      </c>
      <c r="Q140" s="18" t="inlineStr">
        <is>
          <t>Implemented</t>
        </is>
      </c>
    </row>
    <row r="141">
      <c r="A141" s="15" t="inlineStr">
        <is>
          <t>GL-13</t>
        </is>
      </c>
      <c r="B141" s="16" t="inlineStr">
        <is>
          <t>General Ledger</t>
        </is>
      </c>
      <c r="C141" s="17" t="inlineStr">
        <is>
          <t>Application</t>
        </is>
      </c>
      <c r="D141" s="16" t="inlineStr">
        <is>
          <t>All</t>
        </is>
      </c>
      <c r="E141" s="16" t="inlineStr">
        <is>
          <t>Revenue or expense mis-attributed to the wrong branch / project — per-location P&amp;L is unintelligible or misleading.</t>
        </is>
      </c>
      <c r="F141" s="16" t="inlineStr">
        <is>
          <t>Accuracy/Presentation</t>
        </is>
      </c>
      <c r="G14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1" s="17" t="inlineStr">
        <is>
          <t>Det</t>
        </is>
      </c>
      <c r="I141" s="17" t="inlineStr">
        <is>
          <t>Automated</t>
        </is>
      </c>
      <c r="J141" s="17" t="inlineStr">
        <is>
          <t>Per period</t>
        </is>
      </c>
      <c r="K141" s="16" t="inlineStr">
        <is>
          <t>Controller</t>
        </is>
      </c>
      <c r="L141" s="17" t="inlineStr">
        <is>
          <t>P10</t>
        </is>
      </c>
      <c r="M14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1" s="16" t="inlineStr">
        <is>
          <t>Inspect by-branch query + PostingContext stamping + department RLS.</t>
        </is>
      </c>
      <c r="O141" s="16" t="inlineStr">
        <is>
          <t>TC-GL-13-01/02/03: smoke + two branches + unassigned bucket (re-performed by the basics.ts harness).</t>
        </is>
      </c>
      <c r="P141" s="16" t="inlineStr">
        <is>
          <t>By-branch P&amp;L report; dimension completeness</t>
        </is>
      </c>
      <c r="Q141" s="18" t="inlineStr">
        <is>
          <t>Implemented</t>
        </is>
      </c>
    </row>
    <row r="142">
      <c r="A142" s="11" t="inlineStr">
        <is>
          <t>GL-14</t>
        </is>
      </c>
      <c r="B142" s="12" t="inlineStr">
        <is>
          <t>General Ledger</t>
        </is>
      </c>
      <c r="C142" s="13" t="inlineStr">
        <is>
          <t>Application</t>
        </is>
      </c>
      <c r="D142" s="12" t="inlineStr">
        <is>
          <t>All</t>
        </is>
      </c>
      <c r="E142" s="12" t="inlineStr">
        <is>
          <t>GL control-account balances (AR/AP/INV/FA) drift from the underlying sub-ledger detail without detection — the control account no longer represents the sum of its sub-ledger, masking posting errors, unrecorded items, or fraud.</t>
        </is>
      </c>
      <c r="F142" s="12" t="inlineStr">
        <is>
          <t>Completeness/Accuracy/Valuation</t>
        </is>
      </c>
      <c r="G14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2" s="13" t="inlineStr">
        <is>
          <t>Det</t>
        </is>
      </c>
      <c r="I142" s="13" t="inlineStr">
        <is>
          <t>Automated</t>
        </is>
      </c>
      <c r="J142" s="13" t="inlineStr">
        <is>
          <t>Monthly</t>
        </is>
      </c>
      <c r="K142" s="12" t="inlineStr">
        <is>
          <t>Financial Controller</t>
        </is>
      </c>
      <c r="L142" s="13" t="inlineStr">
        <is>
          <t>P10</t>
        </is>
      </c>
      <c r="M14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2" s="12" t="inlineStr">
        <is>
          <t>Inspect the GL-vs-sub-ledger balance computation + variance/status + SELF_CERTIFY maker-checker gate + gl_close certify permission.</t>
        </is>
      </c>
      <c r="O142" s="12" t="inlineStr">
        <is>
          <t>TC-GL-14-01: run AR tie-out → balances + Matched/Variance; TC-GL-14-02: self-certify by the runner → SELF_CERTIFY (400); TC-GL-14-03: certify by a different gl_close user → Certified (re-performed by the basics.ts harness).</t>
        </is>
      </c>
      <c r="P142" s="12" t="inlineStr">
        <is>
          <t>Tie-out run log (subledger_tieout_runs) with variance + certification trail; monthly reconciliation sign-off</t>
        </is>
      </c>
      <c r="Q142" s="18" t="inlineStr">
        <is>
          <t>Implemented</t>
        </is>
      </c>
    </row>
    <row r="143">
      <c r="A143" s="15" t="inlineStr">
        <is>
          <t>GL-15</t>
        </is>
      </c>
      <c r="B143" s="16" t="inlineStr">
        <is>
          <t>General Ledger</t>
        </is>
      </c>
      <c r="C143" s="17" t="inlineStr">
        <is>
          <t>Application</t>
        </is>
      </c>
      <c r="D143" s="16" t="inlineStr">
        <is>
          <t>All</t>
        </is>
      </c>
      <c r="E14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3" s="16" t="inlineStr">
        <is>
          <t>Completeness/Accuracy/Cutoff</t>
        </is>
      </c>
      <c r="G14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3" s="17" t="inlineStr">
        <is>
          <t>Prev</t>
        </is>
      </c>
      <c r="I143" s="17" t="inlineStr">
        <is>
          <t>Automated</t>
        </is>
      </c>
      <c r="J143" s="17" t="inlineStr">
        <is>
          <t>Monthly</t>
        </is>
      </c>
      <c r="K143" s="16" t="inlineStr">
        <is>
          <t>Financial Controller</t>
        </is>
      </c>
      <c r="L143" s="17" t="inlineStr">
        <is>
          <t>P10</t>
        </is>
      </c>
      <c r="M14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3" s="16" t="inlineStr">
        <is>
          <t>Inspect the seeded checklist + ReadyToLock gating + STEPS_INCOMPLETE lock rejection + PERIOD_LOCKED hard gate in postEntry (incl. the CLOSE exemption).</t>
        </is>
      </c>
      <c r="O143" s="16" t="inlineStr">
        <is>
          <t>TC-GL-15-01: start close seeds ≥4 steps (InProgress); TC-GL-15-02: lock before steps done → STEPS_INCOMPLETE (400); TC-GL-15-03: post into locked period → PERIOD_LOCKED (400) (re-performed by the basics.ts harness).</t>
        </is>
      </c>
      <c r="P143" s="16" t="inlineStr">
        <is>
          <t>close_runs / close_run_steps with completion trail; fiscal_periods.status=Locked; monthly close sign-off</t>
        </is>
      </c>
      <c r="Q143" s="18" t="inlineStr">
        <is>
          <t>Implemented</t>
        </is>
      </c>
    </row>
    <row r="144">
      <c r="A144" s="11" t="inlineStr">
        <is>
          <t>GL-16</t>
        </is>
      </c>
      <c r="B144" s="12" t="inlineStr">
        <is>
          <t>General Ledger</t>
        </is>
      </c>
      <c r="C144" s="13" t="inlineStr">
        <is>
          <t>Application</t>
        </is>
      </c>
      <c r="D144" s="12" t="inlineStr">
        <is>
          <t>All</t>
        </is>
      </c>
      <c r="E144" s="12" t="inlineStr">
        <is>
          <t>One person both performs the close and locks the period, defeating segregation of duties — a preparer could conceal a misstatement by closing over their own work without independent review.</t>
        </is>
      </c>
      <c r="F144" s="12" t="inlineStr">
        <is>
          <t>Authorization/Segregation of Duties</t>
        </is>
      </c>
      <c r="G14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4" s="13" t="inlineStr">
        <is>
          <t>Prev</t>
        </is>
      </c>
      <c r="I144" s="13" t="inlineStr">
        <is>
          <t>Automated</t>
        </is>
      </c>
      <c r="J144" s="13" t="inlineStr">
        <is>
          <t>Monthly</t>
        </is>
      </c>
      <c r="K144" s="12" t="inlineStr">
        <is>
          <t>Financial Controller</t>
        </is>
      </c>
      <c r="L144" s="13" t="inlineStr">
        <is>
          <t>P10</t>
        </is>
      </c>
      <c r="M14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4" s="12" t="inlineStr">
        <is>
          <t>Inspect the SELF_LOCK gate (startedBy ≠ lockedBy) + the started_by/locked_by/locked_at evidence trail.</t>
        </is>
      </c>
      <c r="O144" s="12" t="inlineStr">
        <is>
          <t>TC-GL-16-01: self-lock by the starter → SELF_LOCK (400); TC-GL-16-02: lock by a different gl_close user → Locked, locked_by recorded (re-performed by the basics.ts harness).</t>
        </is>
      </c>
      <c r="P144" s="12" t="inlineStr">
        <is>
          <t>close_runs.started_by / locked_by / locked_at SoD trail; monthly close sign-off</t>
        </is>
      </c>
      <c r="Q144" s="18" t="inlineStr">
        <is>
          <t>Implemented</t>
        </is>
      </c>
    </row>
    <row r="145">
      <c r="A145" s="15" t="inlineStr">
        <is>
          <t>GL-17</t>
        </is>
      </c>
      <c r="B145" s="16" t="inlineStr">
        <is>
          <t>General Ledger</t>
        </is>
      </c>
      <c r="C145" s="17" t="inlineStr">
        <is>
          <t>Application</t>
        </is>
      </c>
      <c r="D145" s="16" t="inlineStr">
        <is>
          <t>All</t>
        </is>
      </c>
      <c r="E14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5" s="16" t="inlineStr">
        <is>
          <t>Completeness/Accuracy/Authorization</t>
        </is>
      </c>
      <c r="G14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5" s="17" t="inlineStr">
        <is>
          <t>Prev</t>
        </is>
      </c>
      <c r="I145" s="17" t="inlineStr">
        <is>
          <t>Automated</t>
        </is>
      </c>
      <c r="J145" s="17" t="inlineStr">
        <is>
          <t>Per entry / continuous</t>
        </is>
      </c>
      <c r="K145" s="16" t="inlineStr">
        <is>
          <t>Financial Controller</t>
        </is>
      </c>
      <c r="L145" s="17" t="inlineStr">
        <is>
          <t>P10</t>
        </is>
      </c>
      <c r="M14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5" s="16" t="inlineStr">
        <is>
          <t>Inspect the DB immutability trigger + the app GL_IMMUTABLE guard + the reversal contra-posting (swapped Dr/Cr, reversal_of, is_reversed) + the gl_audit_log trail (POST/APPROVE/REVERSE/MUTATE_BLOCKED).</t>
        </is>
      </c>
      <c r="O14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5" s="16" t="inlineStr">
        <is>
          <t>gl_audit_log trail (POST/APPROVE/REVERSE/MUTATE_BLOCKED); reversal entries with reversal_of linkage; posted-entry immutability</t>
        </is>
      </c>
      <c r="Q145" s="18" t="inlineStr">
        <is>
          <t>Implemented</t>
        </is>
      </c>
    </row>
    <row r="146">
      <c r="A146" s="11" t="inlineStr">
        <is>
          <t>GL-18</t>
        </is>
      </c>
      <c r="B146" s="12" t="inlineStr">
        <is>
          <t>General Ledger</t>
        </is>
      </c>
      <c r="C146" s="13" t="inlineStr">
        <is>
          <t>Application</t>
        </is>
      </c>
      <c r="D146" s="12" t="inlineStr">
        <is>
          <t>Accounts Receivable (1100); Accounts Payable (2000); FX Gain/Loss (5400)</t>
        </is>
      </c>
      <c r="E14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6" s="12" t="inlineStr">
        <is>
          <t>Accuracy/Valuation/Authorization/Segregation of Duties</t>
        </is>
      </c>
      <c r="G14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6" s="13" t="inlineStr">
        <is>
          <t>Prev</t>
        </is>
      </c>
      <c r="I146" s="13" t="inlineStr">
        <is>
          <t>Automated</t>
        </is>
      </c>
      <c r="J146" s="13" t="inlineStr">
        <is>
          <t>Monthly / period-end</t>
        </is>
      </c>
      <c r="K146" s="12" t="inlineStr">
        <is>
          <t>Financial Controller</t>
        </is>
      </c>
      <c r="L146" s="13" t="inlineStr">
        <is>
          <t>P10</t>
        </is>
      </c>
      <c r="M14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6" s="12" t="inlineStr">
        <is>
          <t>Inspect the run→post lifecycle, the rate resolution (explicit/approved-only/MISSING_RATE), the SELF_POST maker-checker, and the 5400/1100/2000 posting through the period-lock gate.</t>
        </is>
      </c>
      <c r="O146" s="12" t="inlineStr">
        <is>
          <t>TC-GL-18-01: run on an open foreign AR+AP → net unrealized gain/loss with per-doc detail (Open); TC-GL-18-02: runner self-post → SELF_POST (403), a different user posts → 5400 movement, re-post → ALREADY_POSTED (400) (re-performed by the basics.ts harness).</t>
        </is>
      </c>
      <c r="P146" s="12" t="inlineStr">
        <is>
          <t>fx_reval_runs register (Open→Posted, runner/poster); the FXREVAL-RUN JE to 5400; period-end reval sign-off</t>
        </is>
      </c>
      <c r="Q146" s="18" t="inlineStr">
        <is>
          <t>Implemented</t>
        </is>
      </c>
    </row>
    <row r="147">
      <c r="A147" s="15" t="inlineStr">
        <is>
          <t>GL-19</t>
        </is>
      </c>
      <c r="B147" s="16" t="inlineStr">
        <is>
          <t>General Ledger</t>
        </is>
      </c>
      <c r="C147" s="17" t="inlineStr">
        <is>
          <t>Detective</t>
        </is>
      </c>
      <c r="D147" s="16" t="inlineStr">
        <is>
          <t>All</t>
        </is>
      </c>
      <c r="E14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7" s="16" t="inlineStr">
        <is>
          <t>Completeness/Accuracy</t>
        </is>
      </c>
      <c r="G14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7" s="17" t="inlineStr">
        <is>
          <t>Det</t>
        </is>
      </c>
      <c r="I147" s="17" t="inlineStr">
        <is>
          <t>Automated</t>
        </is>
      </c>
      <c r="J147" s="17" t="inlineStr">
        <is>
          <t>Pre-lock / period-end</t>
        </is>
      </c>
      <c r="K147" s="16" t="inlineStr">
        <is>
          <t>Financial Controller</t>
        </is>
      </c>
      <c r="L147" s="17" t="inlineStr">
        <is>
          <t>P10</t>
        </is>
      </c>
      <c r="M14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7" s="16" t="inlineStr">
        <is>
          <t>Inspect the four readiness checks (unposted_drafts, period_balanced, unbalanced_entries, suspense_clearing) and that a draft in the period sets ready=false with the unposted_drafts blocker.</t>
        </is>
      </c>
      <c r="O147" s="16" t="inlineStr">
        <is>
          <t>TC-GL-19-CLOSE-01: validate a clean past period → ready=true, no blockers, drafts/balance checks ok; TC-GL-19-CLOSE-02: a manual JE (posts as Draft, GL-05) in the period → ready=false, unposted_drafts blocker count ≥ 1 (re-performed by the basics.ts harness).</t>
        </is>
      </c>
      <c r="P147" s="16" t="inlineStr">
        <is>
          <t>close-validate readiness report (ready/blockers/warnings + per-check detail)</t>
        </is>
      </c>
      <c r="Q147" s="18" t="inlineStr">
        <is>
          <t>Implemented</t>
        </is>
      </c>
    </row>
    <row r="148">
      <c r="A148" s="11" t="inlineStr">
        <is>
          <t>GL-20</t>
        </is>
      </c>
      <c r="B148" s="12" t="inlineStr">
        <is>
          <t>General Ledger</t>
        </is>
      </c>
      <c r="C148" s="13" t="inlineStr">
        <is>
          <t>Detective</t>
        </is>
      </c>
      <c r="D148" s="12" t="inlineStr">
        <is>
          <t>All</t>
        </is>
      </c>
      <c r="E14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8" s="12" t="inlineStr">
        <is>
          <t>Completeness/Accuracy</t>
        </is>
      </c>
      <c r="G14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8" s="13" t="inlineStr">
        <is>
          <t>Det</t>
        </is>
      </c>
      <c r="I148" s="13" t="inlineStr">
        <is>
          <t>Automated</t>
        </is>
      </c>
      <c r="J148" s="13" t="inlineStr">
        <is>
          <t>Per close</t>
        </is>
      </c>
      <c r="K148" s="12" t="inlineStr">
        <is>
          <t>Financial Controller</t>
        </is>
      </c>
      <c r="L148" s="13" t="inlineStr">
        <is>
          <t>P17</t>
        </is>
      </c>
      <c r="M148" s="12" t="inlineStr">
        <is>
          <t>ledger.service.ts bumpPeriodBalances (transactional maintenance) + trialBalance (snapshot read); close.service.ts validate gl_snapshot_drift; drizzle/0219_gl_period_balances.sql (table + unique key + backfill); cutover/basics.ts TC-GL-20 (ToE)</t>
        </is>
      </c>
      <c r="N148" s="12" t="inlineStr">
        <is>
          <t>Inspect that the snapshot write shares the posting transaction and that validate compares snapshot vs raw per account.</t>
        </is>
      </c>
      <c r="O148" s="12" t="inlineStr">
        <is>
          <t>Re-perform: clean period → gl_snapshot_drift ok; INSERT a bogus snapshot row → validate ready=false with the account named; rebuild → clear (basics harness TC-GL-20).</t>
        </is>
      </c>
      <c r="P148" s="12" t="inlineStr">
        <is>
          <t>Snapshot-reconciliation ToE (basics)</t>
        </is>
      </c>
      <c r="Q148" s="18" t="inlineStr">
        <is>
          <t>Implemented</t>
        </is>
      </c>
    </row>
    <row r="149">
      <c r="A149" s="15" t="inlineStr">
        <is>
          <t>GL-21</t>
        </is>
      </c>
      <c r="B149" s="16" t="inlineStr">
        <is>
          <t>General Ledger</t>
        </is>
      </c>
      <c r="C149" s="17" t="inlineStr">
        <is>
          <t>Application</t>
        </is>
      </c>
      <c r="D149" s="16" t="inlineStr">
        <is>
          <t>Inventory; COGS; Revenue</t>
        </is>
      </c>
      <c r="E14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49" s="16" t="inlineStr">
        <is>
          <t>Accuracy/Completeness/Valuation</t>
        </is>
      </c>
      <c r="G14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t>
        </is>
      </c>
      <c r="H149" s="17" t="inlineStr">
        <is>
          <t>Prev</t>
        </is>
      </c>
      <c r="I149" s="17" t="inlineStr">
        <is>
          <t>Automated</t>
        </is>
      </c>
      <c r="J149" s="17" t="inlineStr">
        <is>
          <t>Event-driven / per item</t>
        </is>
      </c>
      <c r="K149" s="16" t="inlineStr">
        <is>
          <t>Financial Controller</t>
        </is>
      </c>
      <c r="L149" s="17" t="inlineStr">
        <is>
          <t>P10</t>
        </is>
      </c>
      <c r="M14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49" s="16" t="inlineStr">
        <is>
          <t>Inspect the item→category→literal precedence, the OFF-by-default parity, the postable-account fail-closed guard, and that reconcile sums the full inventory-account set.</t>
        </is>
      </c>
      <c r="O14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49" s="16" t="inlineStr">
        <is>
          <t>Feature-flag state + posting-rule/override config; harness ToE (basics GL-21)</t>
        </is>
      </c>
      <c r="Q149" s="18" t="inlineStr">
        <is>
          <t>Implemented</t>
        </is>
      </c>
    </row>
    <row r="150">
      <c r="A150" s="11" t="inlineStr">
        <is>
          <t>EXP-07</t>
        </is>
      </c>
      <c r="B150" s="12" t="inlineStr">
        <is>
          <t>Expenditure</t>
        </is>
      </c>
      <c r="C150" s="13" t="inlineStr">
        <is>
          <t>Application</t>
        </is>
      </c>
      <c r="D150" s="12" t="inlineStr">
        <is>
          <t>Cash; Operating expense</t>
        </is>
      </c>
      <c r="E150" s="12" t="inlineStr">
        <is>
          <t>Petty-cash / employee advance issued but never accounted for — cash leakage, expense unrecorded.</t>
        </is>
      </c>
      <c r="F150" s="12" t="inlineStr">
        <is>
          <t>Existence/Completeness</t>
        </is>
      </c>
      <c r="G15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0" s="13" t="inlineStr">
        <is>
          <t>Det</t>
        </is>
      </c>
      <c r="I150" s="13" t="inlineStr">
        <is>
          <t>Automated</t>
        </is>
      </c>
      <c r="J150" s="13" t="inlineStr">
        <is>
          <t>Per advance</t>
        </is>
      </c>
      <c r="K150" s="12" t="inlineStr">
        <is>
          <t>AP / Controller</t>
        </is>
      </c>
      <c r="L150" s="13" t="inlineStr">
        <is>
          <t>P10</t>
        </is>
      </c>
      <c r="M150" s="12" t="inlineStr">
        <is>
          <t>finance.service.ts (issueAdvance, settleAdvance reconcile-or-reject, listAdvances outstanding); finance.controller.ts (creditors/exec); schema/finance.ts (employee_advances) + migration 0120; cutover/basics.ts (ToE)</t>
        </is>
      </c>
      <c r="N150" s="12" t="inlineStr">
        <is>
          <t>Inspect issue/settle GL + settlement reconciliation guard.</t>
        </is>
      </c>
      <c r="O150" s="12" t="inlineStr">
        <is>
          <t>Issue an advance (1180 up); settle 700+300 clears 1180; mismatched settle → SETTLE_MISMATCH (re-performed by the harness).</t>
        </is>
      </c>
      <c r="P150" s="12" t="inlineStr">
        <is>
          <t>Advance register; outstanding float</t>
        </is>
      </c>
      <c r="Q150" s="18" t="inlineStr">
        <is>
          <t>Implemented</t>
        </is>
      </c>
    </row>
    <row r="151">
      <c r="A151" s="15" t="inlineStr">
        <is>
          <t>EXP-08</t>
        </is>
      </c>
      <c r="B151" s="16" t="inlineStr">
        <is>
          <t>Expenditure</t>
        </is>
      </c>
      <c r="C151" s="17" t="inlineStr">
        <is>
          <t>Application</t>
        </is>
      </c>
      <c r="D151" s="16" t="inlineStr">
        <is>
          <t>Cash; Operating expense</t>
        </is>
      </c>
      <c r="E151" s="16" t="inlineStr">
        <is>
          <t>Petty-cash disbursed beyond authority / without independent review, or drawn past the fund's limit — cash leakage, unauthorised or unrecorded expense, over-extended float.</t>
        </is>
      </c>
      <c r="F151" s="16" t="inlineStr">
        <is>
          <t>Authorization; Completeness</t>
        </is>
      </c>
      <c r="G15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1" s="17" t="inlineStr">
        <is>
          <t>Prev</t>
        </is>
      </c>
      <c r="I151" s="17" t="inlineStr">
        <is>
          <t>Automated</t>
        </is>
      </c>
      <c r="J151" s="17" t="inlineStr">
        <is>
          <t>Per disbursement</t>
        </is>
      </c>
      <c r="K151" s="16" t="inlineStr">
        <is>
          <t>AP / Controller</t>
        </is>
      </c>
      <c r="L151" s="17" t="inlineStr">
        <is>
          <t>P10</t>
        </is>
      </c>
      <c r="M15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1" s="16" t="inlineStr">
        <is>
          <t>Inspect the float ceiling + the request→approve flow + the approver≠requester check + that the request posts nothing until approval.</t>
        </is>
      </c>
      <c r="O15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1" s="16" t="inlineStr">
        <is>
          <t>Fund register + disbursement approval log + SoD test</t>
        </is>
      </c>
      <c r="Q151" s="18" t="inlineStr">
        <is>
          <t>Implemented</t>
        </is>
      </c>
    </row>
    <row r="152">
      <c r="A152" s="11" t="inlineStr">
        <is>
          <t>EXP-09</t>
        </is>
      </c>
      <c r="B152" s="12" t="inlineStr">
        <is>
          <t>Expenditure</t>
        </is>
      </c>
      <c r="C152" s="13" t="inlineStr">
        <is>
          <t>Application</t>
        </is>
      </c>
      <c r="D152" s="12" t="inlineStr">
        <is>
          <t>Accounts Payable; Cash</t>
        </is>
      </c>
      <c r="E15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2" s="12" t="inlineStr">
        <is>
          <t>Occurrence/Accuracy/Authorization</t>
        </is>
      </c>
      <c r="G15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2" s="13" t="inlineStr">
        <is>
          <t>Prev</t>
        </is>
      </c>
      <c r="I152" s="13" t="inlineStr">
        <is>
          <t>Automated</t>
        </is>
      </c>
      <c r="J152" s="13" t="inlineStr">
        <is>
          <t>Per payment</t>
        </is>
      </c>
      <c r="K152" s="12" t="inlineStr">
        <is>
          <t>AP / Controller</t>
        </is>
      </c>
      <c r="L152" s="13" t="inlineStr">
        <is>
          <t>P10</t>
        </is>
      </c>
      <c r="M152" s="12" t="inlineStr">
        <is>
          <t>finance.service.ts (requestApPayment → matchSvc.assertPayable); match/three-way-match.service.ts (assertPayable fail-open for non-PO, blocks not-payable &amp; not-overridden); finance.controller.ts (ap/transactions/:txnNo/pay); cutover/match.ts (ToE)</t>
        </is>
      </c>
      <c r="N152" s="12" t="inlineStr">
        <is>
          <t>Inspect that the AP-pay request consults assertPayable and that a non-PO bill is exempt while a failed PO invoice is blocked.</t>
        </is>
      </c>
      <c r="O152" s="12" t="inlineStr">
        <is>
          <t>Re-perform: a PO invoice with a qty/price variance over tolerance → pay request MATCH_BLOCKED; an independently-overridden / matched invoice → pay succeeds; a non-PO bill pays unblocked (re-performed by the match harness).</t>
        </is>
      </c>
      <c r="P152" s="12" t="inlineStr">
        <is>
          <t>Blocked-invoice worklist; payment-gate test</t>
        </is>
      </c>
      <c r="Q152" s="18" t="inlineStr">
        <is>
          <t>Implemented</t>
        </is>
      </c>
    </row>
    <row r="153">
      <c r="A153" s="15" t="inlineStr">
        <is>
          <t>EXP-10</t>
        </is>
      </c>
      <c r="B153" s="16" t="inlineStr">
        <is>
          <t>Expenditure</t>
        </is>
      </c>
      <c r="C153" s="17" t="inlineStr">
        <is>
          <t>Application</t>
        </is>
      </c>
      <c r="D153" s="16" t="inlineStr">
        <is>
          <t>Accounts Payable</t>
        </is>
      </c>
      <c r="E153" s="16" t="inlineStr">
        <is>
          <t>A scanned/keyed vendor invoice is booked against the wrong PO (or twice under the same invoice number), or an intake bill bypasses the 3-way match — a mis-mapped or duplicate document becomes a payable and cash is disbursed for it.</t>
        </is>
      </c>
      <c r="F153" s="16" t="inlineStr">
        <is>
          <t>Occurrence/Validity/Accuracy</t>
        </is>
      </c>
      <c r="G15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3" s="17" t="inlineStr">
        <is>
          <t>Prev</t>
        </is>
      </c>
      <c r="I153" s="17" t="inlineStr">
        <is>
          <t>Automated</t>
        </is>
      </c>
      <c r="J153" s="17" t="inlineStr">
        <is>
          <t>Per invoice</t>
        </is>
      </c>
      <c r="K153" s="16" t="inlineStr">
        <is>
          <t>AP / Procurement</t>
        </is>
      </c>
      <c r="L153" s="17" t="inlineStr">
        <is>
          <t>P17</t>
        </is>
      </c>
      <c r="M15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3" s="16" t="inlineStr">
        <is>
          <t>Inspect the mapper's ambiguity/duplicate handling and that posting always runs the match for a PO-mapped intake.</t>
        </is>
      </c>
      <c r="O15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3" s="16" t="inlineStr">
        <is>
          <t>Intake worklist; duplicate/cumulative guard tests</t>
        </is>
      </c>
      <c r="Q153" s="18" t="inlineStr">
        <is>
          <t>Implemented</t>
        </is>
      </c>
    </row>
    <row r="154">
      <c r="A154" s="11" t="inlineStr">
        <is>
          <t>FA-07</t>
        </is>
      </c>
      <c r="B154" s="12" t="inlineStr">
        <is>
          <t>Fixed Assets</t>
        </is>
      </c>
      <c r="C154" s="13" t="inlineStr">
        <is>
          <t>Application</t>
        </is>
      </c>
      <c r="D154" s="12" t="inlineStr">
        <is>
          <t>Property, Plant &amp; Equipment; Equity</t>
        </is>
      </c>
      <c r="E154" s="12" t="inlineStr">
        <is>
          <t>Carrying amount not adjusted for revaluation/impairment — asset over/understated.</t>
        </is>
      </c>
      <c r="F154" s="12" t="inlineStr">
        <is>
          <t>Valuation</t>
        </is>
      </c>
      <c r="G15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4" s="13" t="inlineStr">
        <is>
          <t>Det</t>
        </is>
      </c>
      <c r="I154" s="13" t="inlineStr">
        <is>
          <t>Automated</t>
        </is>
      </c>
      <c r="J154" s="13" t="inlineStr">
        <is>
          <t>Per event</t>
        </is>
      </c>
      <c r="K154" s="12" t="inlineStr">
        <is>
          <t>FaAccountant / Controller</t>
        </is>
      </c>
      <c r="L154" s="13" t="inlineStr">
        <is>
          <t>P10</t>
        </is>
      </c>
      <c r="M154" s="12" t="inlineStr">
        <is>
          <t>assets.service.ts (revalue up→3200 / down→5820, listRevaluations; dispose recycles surplus 3200→3100); assets.controller.ts (exec/creditors); schema/assets.ts (asset_revaluations) + migration 0120; cutover/basics.ts (ToE)</t>
        </is>
      </c>
      <c r="N154" s="12" t="inlineStr">
        <is>
          <t>Inspect revaluation/impairment routing + audit log + disposal recycling.</t>
        </is>
      </c>
      <c r="O154" s="12" t="inlineStr">
        <is>
          <t>Upward revaluation credits 3200; impairment debits 5820; no-change → NO_CHANGE; both events logged; on disposal the revaluation surplus is recycled to retained earnings (Dr 3200 / Cr 3100), not through P&amp;L (re-performed by the harness).</t>
        </is>
      </c>
      <c r="P154" s="12" t="inlineStr">
        <is>
          <t>Revaluation log; disposal recycling JE</t>
        </is>
      </c>
      <c r="Q154" s="18" t="inlineStr">
        <is>
          <t>Implemented</t>
        </is>
      </c>
    </row>
    <row r="155">
      <c r="A155" s="15" t="inlineStr">
        <is>
          <t>FA-08</t>
        </is>
      </c>
      <c r="B155" s="16" t="inlineStr">
        <is>
          <t>Fixed Assets</t>
        </is>
      </c>
      <c r="C155" s="17" t="inlineStr">
        <is>
          <t>Application</t>
        </is>
      </c>
      <c r="D155" s="16" t="inlineStr">
        <is>
          <t>Property, Plant &amp; Equipment; Equity</t>
        </is>
      </c>
      <c r="E155" s="16" t="inlineStr">
        <is>
          <t>Carrying amount changed by fair-value revaluation/impairment without independent review — the preparer revalues the asset and posts to equity/P&amp;L on their own (earnings/equity management).</t>
        </is>
      </c>
      <c r="F155" s="16" t="inlineStr">
        <is>
          <t>Authorization</t>
        </is>
      </c>
      <c r="G15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5" s="17" t="inlineStr">
        <is>
          <t>Prev</t>
        </is>
      </c>
      <c r="I155" s="17" t="inlineStr">
        <is>
          <t>Automated</t>
        </is>
      </c>
      <c r="J155" s="17" t="inlineStr">
        <is>
          <t>Per event</t>
        </is>
      </c>
      <c r="K155" s="16" t="inlineStr">
        <is>
          <t>FaAccountant / Controller</t>
        </is>
      </c>
      <c r="L155" s="17" t="inlineStr">
        <is>
          <t>P10</t>
        </is>
      </c>
      <c r="M155" s="16" t="inlineStr">
        <is>
          <t>assets.service.ts revalue(pendingApproval Draft)/approveRevaluation/rejectRevaluation; assets.controller.ts (:assetNo/revalue/approve|reject); schema/assets.ts asset_revaluations.status + migration 0134; cutover/basics.ts + compliance.ts (ToE)</t>
        </is>
      </c>
      <c r="N155" s="16" t="inlineStr">
        <is>
          <t>Inspect Draft→approve flow + the approver≠preparer check + deferred carrying-value update.</t>
        </is>
      </c>
      <c r="O155" s="16" t="inlineStr">
        <is>
          <t>Re-perform: request a revaluation (Draft JE excluded from 3200), attempt self-approve (SOD_VIOLATION), approve as a different user; confirm the surplus/impairment + carrying value move only after approval (re-performed by the harnesses).</t>
        </is>
      </c>
      <c r="P155" s="16" t="inlineStr">
        <is>
          <t>Revaluation approval log + SoD test</t>
        </is>
      </c>
      <c r="Q155" s="18" t="inlineStr">
        <is>
          <t>Implemented</t>
        </is>
      </c>
    </row>
    <row r="156">
      <c r="A156" s="11" t="inlineStr">
        <is>
          <t>LSE-01</t>
        </is>
      </c>
      <c r="B156" s="12" t="inlineStr">
        <is>
          <t>Leases</t>
        </is>
      </c>
      <c r="C156" s="13" t="inlineStr">
        <is>
          <t>Application</t>
        </is>
      </c>
      <c r="D156" s="12" t="inlineStr">
        <is>
          <t>Right-of-use assets; Lease liabilities</t>
        </is>
      </c>
      <c r="E156" s="12" t="inlineStr">
        <is>
          <t>Lease not capitalised (IFRS 16 / TFRS 16) — ROU asset + lease liability omitted; interest/depreciation mis-stated.</t>
        </is>
      </c>
      <c r="F156" s="12" t="inlineStr">
        <is>
          <t>Completeness/Accuracy/Valuation</t>
        </is>
      </c>
      <c r="G15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6" s="13" t="inlineStr">
        <is>
          <t>Det</t>
        </is>
      </c>
      <c r="I156" s="13" t="inlineStr">
        <is>
          <t>Automated</t>
        </is>
      </c>
      <c r="J156" s="13" t="inlineStr">
        <is>
          <t>Per period / per lease</t>
        </is>
      </c>
      <c r="K156" s="12" t="inlineStr">
        <is>
          <t>Controller</t>
        </is>
      </c>
      <c r="L156" s="13" t="inlineStr">
        <is>
          <t>P10</t>
        </is>
      </c>
      <c r="M156" s="12" t="inlineStr">
        <is>
          <t>leases.service.ts (createLease PV recognition, runDueLeases interest+payment+depreciation, modifyLease remeasurement); leases.controller.ts (gl_post); bi.service.ts (lease_periodic_run); schema/leases.ts (leases, rou_nbv) + migration 0120/0121; cutover/basics.ts (ToE)</t>
        </is>
      </c>
      <c r="N156" s="12" t="inlineStr">
        <is>
          <t>Inspect PV recognition + periodic interest/payment/depreciation + final-period clearing + modification remeasurement.</t>
        </is>
      </c>
      <c r="O15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6" s="12" t="inlineStr">
        <is>
          <t>Lease register; periodic run log; modification remeasurement</t>
        </is>
      </c>
      <c r="Q156" s="18" t="inlineStr">
        <is>
          <t>Implemented</t>
        </is>
      </c>
    </row>
    <row r="157">
      <c r="A157" s="15" t="inlineStr">
        <is>
          <t>REC-01</t>
        </is>
      </c>
      <c r="B157" s="16" t="inlineStr">
        <is>
          <t>Reconciliation</t>
        </is>
      </c>
      <c r="C157" s="17" t="inlineStr">
        <is>
          <t>Application</t>
        </is>
      </c>
      <c r="D157" s="16" t="inlineStr">
        <is>
          <t>All</t>
        </is>
      </c>
      <c r="E157" s="16" t="inlineStr">
        <is>
          <t>Subledgers diverge from GL undetected.</t>
        </is>
      </c>
      <c r="F157" s="16" t="inlineStr">
        <is>
          <t>Completeness/Accuracy</t>
        </is>
      </c>
      <c r="G157" s="16" t="inlineStr">
        <is>
          <t>Subledger-to-GL reconciliation per period: import GL, auto-match, certify (sign-off via 'approvals').</t>
        </is>
      </c>
      <c r="H157" s="17" t="inlineStr">
        <is>
          <t>Det</t>
        </is>
      </c>
      <c r="I157" s="17" t="inlineStr">
        <is>
          <t>Auto+Manual</t>
        </is>
      </c>
      <c r="J157" s="17" t="inlineStr">
        <is>
          <t>Monthly</t>
        </is>
      </c>
      <c r="K157" s="16" t="inlineStr">
        <is>
          <t>Controller</t>
        </is>
      </c>
      <c r="L157" s="17" t="inlineStr">
        <is>
          <t>P16</t>
        </is>
      </c>
      <c r="M157" s="16" t="inlineStr">
        <is>
          <t>reconciliation.service.ts (importGlItems/autoMatch/certify)</t>
        </is>
      </c>
      <c r="N157" s="16" t="inlineStr">
        <is>
          <t>Inspect recon + certify gate.</t>
        </is>
      </c>
      <c r="O157" s="16" t="inlineStr">
        <is>
          <t>Sample periods: reconciled, unmatched cleared, certified.</t>
        </is>
      </c>
      <c r="P157" s="16" t="inlineStr">
        <is>
          <t>Certified recon</t>
        </is>
      </c>
      <c r="Q157" s="18" t="inlineStr">
        <is>
          <t>Implemented</t>
        </is>
      </c>
    </row>
    <row r="158">
      <c r="A158" s="11" t="inlineStr">
        <is>
          <t>REC-02</t>
        </is>
      </c>
      <c r="B158" s="12" t="inlineStr">
        <is>
          <t>Reconciliation</t>
        </is>
      </c>
      <c r="C158" s="13" t="inlineStr">
        <is>
          <t>Application</t>
        </is>
      </c>
      <c r="D158" s="12" t="inlineStr">
        <is>
          <t>Cash</t>
        </is>
      </c>
      <c r="E158" s="12" t="inlineStr">
        <is>
          <t>Bank balance not reconciled to GL.</t>
        </is>
      </c>
      <c r="F158" s="12" t="inlineStr">
        <is>
          <t>Existence/Completeness</t>
        </is>
      </c>
      <c r="G158" s="12" t="inlineStr">
        <is>
          <t>Bank reconciliation against statements.</t>
        </is>
      </c>
      <c r="H158" s="13" t="inlineStr">
        <is>
          <t>Det</t>
        </is>
      </c>
      <c r="I158" s="13" t="inlineStr">
        <is>
          <t>Auto+Manual</t>
        </is>
      </c>
      <c r="J158" s="13" t="inlineStr">
        <is>
          <t>Monthly</t>
        </is>
      </c>
      <c r="K158" s="12" t="inlineStr">
        <is>
          <t>Controller</t>
        </is>
      </c>
      <c r="L158" s="13" t="inlineStr">
        <is>
          <t>P16</t>
        </is>
      </c>
      <c r="M158" s="12" t="inlineStr">
        <is>
          <t>bank module; drizzle/0015_bank_reconciliation</t>
        </is>
      </c>
      <c r="N158" s="12" t="inlineStr">
        <is>
          <t>Inspect bank-rec process.</t>
        </is>
      </c>
      <c r="O158" s="12" t="inlineStr">
        <is>
          <t>Sample months reconciled &amp; reviewed.</t>
        </is>
      </c>
      <c r="P158" s="12" t="inlineStr">
        <is>
          <t>Bank rec</t>
        </is>
      </c>
      <c r="Q158" s="18" t="inlineStr">
        <is>
          <t>Implemented</t>
        </is>
      </c>
    </row>
    <row r="159">
      <c r="A159" s="15" t="inlineStr">
        <is>
          <t>BANK-02</t>
        </is>
      </c>
      <c r="B159" s="16" t="inlineStr">
        <is>
          <t>Cash &amp; Treasury</t>
        </is>
      </c>
      <c r="C159" s="17" t="inlineStr">
        <is>
          <t>Application</t>
        </is>
      </c>
      <c r="D159" s="16" t="inlineStr">
        <is>
          <t>Cash; Operating expense; Interest income</t>
        </is>
      </c>
      <c r="E159" s="16" t="inlineStr">
        <is>
          <t>A bank fee/interest adjustment is posted straight to the GL by one person during reconciliation — a cash outflow mis-booked as interest income, or a fictitious fee posted, with no independent review (single-person posting to the cash account).</t>
        </is>
      </c>
      <c r="F159" s="16" t="inlineStr">
        <is>
          <t>Authorization/Accuracy</t>
        </is>
      </c>
      <c r="G15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9" s="17" t="inlineStr">
        <is>
          <t>Prev</t>
        </is>
      </c>
      <c r="I159" s="17" t="inlineStr">
        <is>
          <t>Automated</t>
        </is>
      </c>
      <c r="J159" s="17" t="inlineStr">
        <is>
          <t>Per adjustment</t>
        </is>
      </c>
      <c r="K159" s="16" t="inlineStr">
        <is>
          <t>Controller</t>
        </is>
      </c>
      <c r="L159" s="17" t="inlineStr">
        <is>
          <t>P10</t>
        </is>
      </c>
      <c r="M159" s="16" t="inlineStr">
        <is>
          <t>bank.service.ts requestAdjustment/approveAdjustment/rejectAdjustment/listPendingAdjustments (reuses ledger.approveEntry SoD); bank.controller.ts (lines/:id/adjustment requests; adjustment/approve|reject gated approvals/gl_close); cutover/bankrec.ts (ToE)</t>
        </is>
      </c>
      <c r="N159" s="16" t="inlineStr">
        <is>
          <t>Inspect the request→approve flow + the approver≠requester check + that the Draft posts nothing until approval.</t>
        </is>
      </c>
      <c r="O159" s="16" t="inlineStr">
        <is>
          <t>Re-perform: request a fee adjustment (line unreconciled, GL difference unchanged), attempt self-approve (SOD_VIOLATION), approve as a different user; confirm the difference closes to 0 only after approval (re-performed by the bankrec harness).</t>
        </is>
      </c>
      <c r="P159" s="16" t="inlineStr">
        <is>
          <t>Bank adjustment queue + SoD test</t>
        </is>
      </c>
      <c r="Q159" s="18" t="inlineStr">
        <is>
          <t>Implemented</t>
        </is>
      </c>
    </row>
    <row r="160">
      <c r="A160" s="11" t="inlineStr">
        <is>
          <t>REC-03</t>
        </is>
      </c>
      <c r="B160" s="12" t="inlineStr">
        <is>
          <t>Reconciliation</t>
        </is>
      </c>
      <c r="C160" s="13" t="inlineStr">
        <is>
          <t>Application</t>
        </is>
      </c>
      <c r="D160" s="12" t="inlineStr">
        <is>
          <t>Consolidation</t>
        </is>
      </c>
      <c r="E160" s="12" t="inlineStr">
        <is>
          <t>Intercompany balances eliminated without an independent reconciliation sign-off.</t>
        </is>
      </c>
      <c r="F160" s="12" t="inlineStr">
        <is>
          <t>Accuracy</t>
        </is>
      </c>
      <c r="G16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0" s="13" t="inlineStr">
        <is>
          <t>Det</t>
        </is>
      </c>
      <c r="I160" s="13" t="inlineStr">
        <is>
          <t>Auto+Manual</t>
        </is>
      </c>
      <c r="J160" s="13" t="inlineStr">
        <is>
          <t>Period</t>
        </is>
      </c>
      <c r="K160" s="12" t="inlineStr">
        <is>
          <t>Group Controller</t>
        </is>
      </c>
      <c r="L160" s="13" t="inlineStr">
        <is>
          <t>P16</t>
        </is>
      </c>
      <c r="M160" s="12" t="inlineStr">
        <is>
          <t>modules/ic-reconciliation/ic-recon.service.ts (prepare/approve, SoD + eliminates gate); consolidation.service.ts runConsolidation (IC_RECON_NOT_APPROVED gate); ic_recon_periods (0205, RLS); cutover/consolidation.ts (ToE)</t>
        </is>
      </c>
      <c r="N160" s="12" t="inlineStr">
        <is>
          <t>Inspect the per-period IC reconciliation sign-off + the consolidation gate.</t>
        </is>
      </c>
      <c r="O160" s="12" t="inlineStr">
        <is>
          <t>Re-perform: consolidation is blocked before sign-off (IC_RECON_NOT_APPROVED); the preparer cannot approve their own reconciliation (SOD_VIOLATION); an independent approver signs off (balances eliminate) → consolidation proceeds.</t>
        </is>
      </c>
      <c r="P160" s="12" t="inlineStr">
        <is>
          <t>IC reconciliation sign-off + consolidation gate ToE</t>
        </is>
      </c>
      <c r="Q160" s="18" t="inlineStr">
        <is>
          <t>Implemented</t>
        </is>
      </c>
    </row>
    <row r="161">
      <c r="A161" s="15" t="inlineStr">
        <is>
          <t>REC-04</t>
        </is>
      </c>
      <c r="B161" s="16" t="inlineStr">
        <is>
          <t>Reconciliation</t>
        </is>
      </c>
      <c r="C161" s="17" t="inlineStr">
        <is>
          <t>Application</t>
        </is>
      </c>
      <c r="D161" s="16" t="inlineStr">
        <is>
          <t>All control accounts</t>
        </is>
      </c>
      <c r="E161" s="16" t="inlineStr">
        <is>
          <t>A sub-ledger silently drifts from its GL control account at period-end and no single review catches it (incomplete/inaccurate balances reach the financial statements).</t>
        </is>
      </c>
      <c r="F161" s="16" t="inlineStr">
        <is>
          <t>Completeness/Accuracy</t>
        </is>
      </c>
      <c r="G16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1" s="17" t="inlineStr">
        <is>
          <t>Det</t>
        </is>
      </c>
      <c r="I161" s="17" t="inlineStr">
        <is>
          <t>Automated</t>
        </is>
      </c>
      <c r="J161" s="17" t="inlineStr">
        <is>
          <t>Period / on demand</t>
        </is>
      </c>
      <c r="K161" s="16" t="inlineStr">
        <is>
          <t>Controller / CFO</t>
        </is>
      </c>
      <c r="L161" s="17" t="inlineStr">
        <is>
          <t>P16</t>
        </is>
      </c>
      <c r="M161" s="16" t="inlineStr">
        <is>
          <t>finance.service.ts reconcileControls; finance.controller.ts GET reconciliation/controls (exec/ar/creditors); reuses ledger.trialBalance + the AR/AP/inventory/gift-card/deferred sub-ledgers; cutover/giftcards.ts + compliance.ts (ToE)</t>
        </is>
      </c>
      <c r="N161" s="16" t="inlineStr">
        <is>
          <t>Inspect the pack: each control account's sub-ledger query + the GL tie + the exceptions roll-up.</t>
        </is>
      </c>
      <c r="O161" s="16" t="inlineStr">
        <is>
          <t>Re-perform: with a clean set, every line reconciled + all_reconciled=true; introduce a known sub-ledger/GL difference and confirm it surfaces as an exception (re-performed: gift-card 2200 + inventory 1200 ties asserted by the harnesses).</t>
        </is>
      </c>
      <c r="P161" s="16" t="inlineStr">
        <is>
          <t>Reconciliation pack; exceptions list</t>
        </is>
      </c>
      <c r="Q161" s="18" t="inlineStr">
        <is>
          <t>Implemented</t>
        </is>
      </c>
    </row>
    <row r="162">
      <c r="A162" s="11" t="inlineStr">
        <is>
          <t>REC-05</t>
        </is>
      </c>
      <c r="B162" s="12" t="inlineStr">
        <is>
          <t>Reconciliation</t>
        </is>
      </c>
      <c r="C162" s="13" t="inlineStr">
        <is>
          <t>Application</t>
        </is>
      </c>
      <c r="D162" s="12" t="inlineStr">
        <is>
          <t>Cash; Bank</t>
        </is>
      </c>
      <c r="E162" s="12" t="inlineStr">
        <is>
          <t>Till cash dropped to the safe never reaches the bank, or a deposit isn't matched to the statement — cash sits unbanked (theft/loss exposure) or the bank balance can't be tied to the books.</t>
        </is>
      </c>
      <c r="F162" s="12" t="inlineStr">
        <is>
          <t>Completeness/Existence/Authorization</t>
        </is>
      </c>
      <c r="G16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2" s="13" t="inlineStr">
        <is>
          <t>Det/Prev</t>
        </is>
      </c>
      <c r="I162" s="13" t="inlineStr">
        <is>
          <t>Auto+Manual</t>
        </is>
      </c>
      <c r="J162" s="13" t="inlineStr">
        <is>
          <t>Per banking run</t>
        </is>
      </c>
      <c r="K162" s="12" t="inlineStr">
        <is>
          <t>FinancialController / Treasury</t>
        </is>
      </c>
      <c r="L162" s="13" t="inlineStr">
        <is>
          <t>P16</t>
        </is>
      </c>
      <c r="M16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2" s="12" t="inlineStr">
        <is>
          <t>Inspect the undeposited-drop exposure read + the deposit GL (bank↔1000) + the reconcile step + the SoD (cashier vs treasury).</t>
        </is>
      </c>
      <c r="O162" s="12" t="inlineStr">
        <is>
          <t>Re-perform: two till drops → cash-in-safe shows the total; a cashier (pos_till) cannot bank (403); treasury banks → Dr bank / Cr 1000, cash-in-safe back to 0; reconcile the deposit; trial balance balanced (re-performed by the cash-banking harness).</t>
        </is>
      </c>
      <c r="P162" s="12" t="inlineStr">
        <is>
          <t>Bank-deposit register; undeposited-drop (cash-in-safe) exposure</t>
        </is>
      </c>
      <c r="Q162" s="18" t="inlineStr">
        <is>
          <t>Implemented</t>
        </is>
      </c>
    </row>
    <row r="163">
      <c r="A163" s="15" t="inlineStr">
        <is>
          <t>GOV-01</t>
        </is>
      </c>
      <c r="B163" s="16" t="inlineStr">
        <is>
          <t>Monitoring</t>
        </is>
      </c>
      <c r="C163" s="17" t="inlineStr">
        <is>
          <t>Application</t>
        </is>
      </c>
      <c r="D163" s="16" t="inlineStr">
        <is>
          <t>All</t>
        </is>
      </c>
      <c r="E163" s="16" t="inlineStr">
        <is>
          <t>A maker-checker approval sits un-actioned and is forgotten — a transaction stalls before it is effective, or (worse) a control is quietly bypassed and no one notices an item never got its independent review.</t>
        </is>
      </c>
      <c r="F163" s="16" t="inlineStr">
        <is>
          <t>Authorization/Completeness</t>
        </is>
      </c>
      <c r="G16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3" s="17" t="inlineStr">
        <is>
          <t>Det</t>
        </is>
      </c>
      <c r="I163" s="17" t="inlineStr">
        <is>
          <t>Automated</t>
        </is>
      </c>
      <c r="J163" s="17" t="inlineStr">
        <is>
          <t>Continuous / pre-close</t>
        </is>
      </c>
      <c r="K163" s="16" t="inlineStr">
        <is>
          <t>Controller / CFO</t>
        </is>
      </c>
      <c r="L163" s="17" t="inlineStr">
        <is>
          <t>P16</t>
        </is>
      </c>
      <c r="M16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3" s="16" t="inlineStr">
        <is>
          <t>Inspect the aggregation across all pending sources + the age/overdue roll-up.</t>
        </is>
      </c>
      <c r="O163" s="16" t="inlineStr">
        <is>
          <t>Re-perform: create a pending item (e.g. a Draft JE) and confirm it appears in the worklist with its control ID, amount and age; the overdue count flags items past the threshold (re-performed by the harness).</t>
        </is>
      </c>
      <c r="P163" s="16" t="inlineStr">
        <is>
          <t>Pending-approvals worklist</t>
        </is>
      </c>
      <c r="Q163" s="18" t="inlineStr">
        <is>
          <t>Implemented</t>
        </is>
      </c>
    </row>
    <row r="164">
      <c r="A164" s="11" t="inlineStr">
        <is>
          <t>TAX-01</t>
        </is>
      </c>
      <c r="B164" s="12" t="inlineStr">
        <is>
          <t>Tax</t>
        </is>
      </c>
      <c r="C164" s="13" t="inlineStr">
        <is>
          <t>Application</t>
        </is>
      </c>
      <c r="D164" s="12" t="inlineStr">
        <is>
          <t>Tax (VAT)</t>
        </is>
      </c>
      <c r="E164" s="12" t="inlineStr">
        <is>
          <t>VAT computed incorrectly → filing/penalty risk.</t>
        </is>
      </c>
      <c r="F164" s="12" t="inlineStr">
        <is>
          <t>Accuracy</t>
        </is>
      </c>
      <c r="G164" s="12" t="inlineStr">
        <is>
          <t>VAT via pluggable provider (TH 7%); unit-tested; no hard-coded rate.</t>
        </is>
      </c>
      <c r="H164" s="13" t="inlineStr">
        <is>
          <t>Auto</t>
        </is>
      </c>
      <c r="I164" s="13" t="inlineStr">
        <is>
          <t>Automated</t>
        </is>
      </c>
      <c r="J164" s="13" t="inlineStr">
        <is>
          <t>Per txn</t>
        </is>
      </c>
      <c r="K164" s="12" t="inlineStr">
        <is>
          <t>Tax / Controller</t>
        </is>
      </c>
      <c r="L164" s="13" t="inlineStr">
        <is>
          <t>P10</t>
        </is>
      </c>
      <c r="M164" s="12" t="inlineStr">
        <is>
          <t>tax/tax-providers.ts; tax.service.ts; test/unit.test.ts</t>
        </is>
      </c>
      <c r="N164" s="12" t="inlineStr">
        <is>
          <t>Inspect rate provider + tests.</t>
        </is>
      </c>
      <c r="O164" s="12" t="inlineStr">
        <is>
          <t>Re-perform VAT on sample; tie to return.</t>
        </is>
      </c>
      <c r="P164" s="12" t="inlineStr">
        <is>
          <t>VAT tests</t>
        </is>
      </c>
      <c r="Q164" s="18" t="inlineStr">
        <is>
          <t>Implemented</t>
        </is>
      </c>
    </row>
    <row r="165">
      <c r="A165" s="15" t="inlineStr">
        <is>
          <t>TAX-02</t>
        </is>
      </c>
      <c r="B165" s="16" t="inlineStr">
        <is>
          <t>Tax</t>
        </is>
      </c>
      <c r="C165" s="17" t="inlineStr">
        <is>
          <t>Application</t>
        </is>
      </c>
      <c r="D165" s="16" t="inlineStr">
        <is>
          <t>Tax; Revenue</t>
        </is>
      </c>
      <c r="E165" s="16" t="inlineStr">
        <is>
          <t>Non-compliant e-Tax invoice / not transmitted to ETDA.</t>
        </is>
      </c>
      <c r="F165" s="16" t="inlineStr">
        <is>
          <t>Accuracy/Compliance</t>
        </is>
      </c>
      <c r="G165" s="16" t="inlineStr">
        <is>
          <t>e-Tax invoice (ETDA UBL 2.1 XML) generation + email with CC to ETDA timestamp mailbox.</t>
        </is>
      </c>
      <c r="H165" s="17" t="inlineStr">
        <is>
          <t>Auto</t>
        </is>
      </c>
      <c r="I165" s="17" t="inlineStr">
        <is>
          <t>Automated</t>
        </is>
      </c>
      <c r="J165" s="17" t="inlineStr">
        <is>
          <t>Per invoice</t>
        </is>
      </c>
      <c r="K165" s="16" t="inlineStr">
        <is>
          <t>Tax</t>
        </is>
      </c>
      <c r="L165" s="17" t="inlineStr">
        <is>
          <t>P10/P13</t>
        </is>
      </c>
      <c r="M165" s="16" t="inlineStr">
        <is>
          <t>tax-docs/etax-xml.ts; etax-email.service.ts (tested)</t>
        </is>
      </c>
      <c r="N165" s="16" t="inlineStr">
        <is>
          <t>Inspect XML schema + email composer.</t>
        </is>
      </c>
      <c r="O165" s="16" t="inlineStr">
        <is>
          <t>Sample invoices: valid XML, correct CC/escaping.</t>
        </is>
      </c>
      <c r="P165" s="16" t="inlineStr">
        <is>
          <t>e-Tax samples</t>
        </is>
      </c>
      <c r="Q165" s="18" t="inlineStr">
        <is>
          <t>Implemented</t>
        </is>
      </c>
    </row>
    <row r="166">
      <c r="A166" s="11" t="inlineStr">
        <is>
          <t>TAX-03</t>
        </is>
      </c>
      <c r="B166" s="12" t="inlineStr">
        <is>
          <t>Tax</t>
        </is>
      </c>
      <c r="C166" s="13" t="inlineStr">
        <is>
          <t>Application</t>
        </is>
      </c>
      <c r="D166" s="12" t="inlineStr">
        <is>
          <t>Tax (WHT)</t>
        </is>
      </c>
      <c r="E166" s="12" t="inlineStr">
        <is>
          <t>Withholding tax mis-computed, not withheld at payment, or not tied to the GL.</t>
        </is>
      </c>
      <c r="F166" s="12" t="inlineStr">
        <is>
          <t>Accuracy</t>
        </is>
      </c>
      <c r="G16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t>
        </is>
      </c>
      <c r="H166" s="13" t="inlineStr">
        <is>
          <t>Auto</t>
        </is>
      </c>
      <c r="I166" s="13" t="inlineStr">
        <is>
          <t>Automated</t>
        </is>
      </c>
      <c r="J166" s="13" t="inlineStr">
        <is>
          <t>Per payment / monthly</t>
        </is>
      </c>
      <c r="K166" s="12" t="inlineStr">
        <is>
          <t>Tax</t>
        </is>
      </c>
      <c r="L166" s="13" t="inlineStr">
        <is>
          <t>P10</t>
        </is>
      </c>
      <c r="M16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66" s="12" t="inlineStr">
        <is>
          <t>Inspect the WHT-at-payment posting + the ภ.ง.ด.→GL tie-out + the scheduled auto-cert batch.</t>
        </is>
      </c>
      <c r="O16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66" s="12" t="inlineStr">
        <is>
          <t>WHT GL postings + ภ.ง.ด.→GL tie-out + scheduled 50-ทวิ auto-cert ToE</t>
        </is>
      </c>
      <c r="Q166" s="18" t="inlineStr">
        <is>
          <t>Implemented</t>
        </is>
      </c>
    </row>
    <row r="167">
      <c r="A167" s="15" t="inlineStr">
        <is>
          <t>TAX-04</t>
        </is>
      </c>
      <c r="B167" s="16" t="inlineStr">
        <is>
          <t>Tax</t>
        </is>
      </c>
      <c r="C167" s="17" t="inlineStr">
        <is>
          <t>Application</t>
        </is>
      </c>
      <c r="D167" s="16" t="inlineStr">
        <is>
          <t>Tax (VAT); Tax Payable (2100)</t>
        </is>
      </c>
      <c r="E167" s="16" t="inlineStr">
        <is>
          <t>Output/input VAT on the filed ภ.พ.30 return does not agree to the GL — VAT liability mis-stated, a filing/penalty exposure, or a posting omission goes undetected before submission.</t>
        </is>
      </c>
      <c r="F167" s="16" t="inlineStr">
        <is>
          <t>Completeness/Accuracy</t>
        </is>
      </c>
      <c r="G16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67" s="17" t="inlineStr">
        <is>
          <t>Det</t>
        </is>
      </c>
      <c r="I167" s="17" t="inlineStr">
        <is>
          <t>Automated</t>
        </is>
      </c>
      <c r="J167" s="17" t="inlineStr">
        <is>
          <t>Monthly / pre-filing</t>
        </is>
      </c>
      <c r="K167" s="16" t="inlineStr">
        <is>
          <t>Tax / FinancialController</t>
        </is>
      </c>
      <c r="L167" s="17" t="inlineStr">
        <is>
          <t>P10/P16</t>
        </is>
      </c>
      <c r="M167" s="16" t="inlineStr">
        <is>
          <t>tax-reports.service.ts pp30 (outputVat/inputVat + 2100 net-movement tie); tax-reports.controller.ts (GET pp30, pp30/export, exec); tax-reports-pdf.ts; dine-in.service.ts/returns.service.ts/finance.service.ts post 2100 on sale/return/AP; /tax/reports UI; cutover/taxdocs.ts (ToE)</t>
        </is>
      </c>
      <c r="N167" s="16" t="inlineStr">
        <is>
          <t>Inspect the pp30 build + the 2100 net-movement query + the tie flag + the filing deadline.</t>
        </is>
      </c>
      <c r="O16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7" s="16" t="inlineStr">
        <is>
          <t>ภ.พ.30 return + GL-2100 reconciliation tie</t>
        </is>
      </c>
      <c r="Q167" s="18" t="inlineStr">
        <is>
          <t>Implemented</t>
        </is>
      </c>
    </row>
    <row r="168">
      <c r="A168" s="11" t="inlineStr">
        <is>
          <t>TAX-05</t>
        </is>
      </c>
      <c r="B168" s="12" t="inlineStr">
        <is>
          <t>Tax</t>
        </is>
      </c>
      <c r="C168" s="13" t="inlineStr">
        <is>
          <t>Application</t>
        </is>
      </c>
      <c r="D168" s="12" t="inlineStr">
        <is>
          <t>Tax (VAT/WHT)</t>
        </is>
      </c>
      <c r="E16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8" s="12" t="inlineStr">
        <is>
          <t>Completeness/Accuracy/Cutoff</t>
        </is>
      </c>
      <c r="G16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68" s="13" t="inlineStr">
        <is>
          <t>Det/Prev</t>
        </is>
      </c>
      <c r="I168" s="13" t="inlineStr">
        <is>
          <t>Auto+Manual</t>
        </is>
      </c>
      <c r="J168" s="13" t="inlineStr">
        <is>
          <t>Monthly / per filing</t>
        </is>
      </c>
      <c r="K168" s="12" t="inlineStr">
        <is>
          <t>Tax / FinancialController</t>
        </is>
      </c>
      <c r="L168" s="13" t="inlineStr">
        <is>
          <t>P10/P16</t>
        </is>
      </c>
      <c r="M16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8" s="12" t="inlineStr">
        <is>
          <t>Inspect the filing snapshot + the DRAFT→SUBMITTED→ACCEPTED lifecycle + the mandatory submission reference + the no-overwrite-of-a-filed-return rule + the deadline calendar.</t>
        </is>
      </c>
      <c r="O16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8" s="12" t="inlineStr">
        <is>
          <t>thai_tax_filings register + remittance calendar</t>
        </is>
      </c>
      <c r="Q168" s="18" t="inlineStr">
        <is>
          <t>Implemented</t>
        </is>
      </c>
    </row>
    <row r="169">
      <c r="A169" s="15" t="inlineStr">
        <is>
          <t>TAX-06</t>
        </is>
      </c>
      <c r="B169" s="16" t="inlineStr">
        <is>
          <t>Tax</t>
        </is>
      </c>
      <c r="C169" s="17" t="inlineStr">
        <is>
          <t>Application</t>
        </is>
      </c>
      <c r="D169" s="16" t="inlineStr">
        <is>
          <t>Deferred Tax Asset (1700); Deferred Tax Liability (2700); Deferred Tax Expense (5950)</t>
        </is>
      </c>
      <c r="E16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9" s="16" t="inlineStr">
        <is>
          <t>Accuracy/Valuation/Completeness/Authorization/Segregation of Duties</t>
        </is>
      </c>
      <c r="G16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9" s="17" t="inlineStr">
        <is>
          <t>Prev</t>
        </is>
      </c>
      <c r="I169" s="17" t="inlineStr">
        <is>
          <t>Automated</t>
        </is>
      </c>
      <c r="J169" s="17" t="inlineStr">
        <is>
          <t>Quarterly / year-end</t>
        </is>
      </c>
      <c r="K169" s="16" t="inlineStr">
        <is>
          <t>Tax / Financial Controller</t>
        </is>
      </c>
      <c r="L169" s="17" t="inlineStr">
        <is>
          <t>P10</t>
        </is>
      </c>
      <c r="M16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9" s="16" t="inlineStr">
        <is>
          <t>Inspect the temp-difference gathering (allowance×rate DTA + accelerated-dep DTL with the documented tax-dep simplification), the delta-vs-prior-run, the SELF_POST maker-checker, and the 1700/5950 posting through the period-lock gate.</t>
        </is>
      </c>
      <c r="O16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69" s="16" t="inlineStr">
        <is>
          <t>deferred_tax_runs register (Open→Posted, temp-difference schedule, runner/poster); the DEFTAX JE to 1700/5950; quarterly/year-end deferred-tax sign-off</t>
        </is>
      </c>
      <c r="Q169" s="18" t="inlineStr">
        <is>
          <t>Implemented</t>
        </is>
      </c>
    </row>
    <row r="170">
      <c r="A170" s="11" t="inlineStr">
        <is>
          <t>PAY-01</t>
        </is>
      </c>
      <c r="B170" s="12" t="inlineStr">
        <is>
          <t>Payroll</t>
        </is>
      </c>
      <c r="C170" s="13" t="inlineStr">
        <is>
          <t>Application</t>
        </is>
      </c>
      <c r="D170" s="12" t="inlineStr">
        <is>
          <t>Payroll expense/liability</t>
        </is>
      </c>
      <c r="E170" s="12" t="inlineStr">
        <is>
          <t>Payroll, SSO and PIT mis-computed.</t>
        </is>
      </c>
      <c r="F170" s="12" t="inlineStr">
        <is>
          <t>Accuracy</t>
        </is>
      </c>
      <c r="G170" s="12" t="inlineStr">
        <is>
          <t>Payroll engine — SSO 5% (cap 750), progressive PIT, payslip net; unit-tested.</t>
        </is>
      </c>
      <c r="H170" s="13" t="inlineStr">
        <is>
          <t>Auto</t>
        </is>
      </c>
      <c r="I170" s="13" t="inlineStr">
        <is>
          <t>Automated</t>
        </is>
      </c>
      <c r="J170" s="13" t="inlineStr">
        <is>
          <t>Per run</t>
        </is>
      </c>
      <c r="K170" s="12" t="inlineStr">
        <is>
          <t>HR / Payroll</t>
        </is>
      </c>
      <c r="L170" s="13" t="inlineStr">
        <is>
          <t>P10</t>
        </is>
      </c>
      <c r="M170" s="12" t="inlineStr">
        <is>
          <t>payroll/payroll-calc.ts; test/unit.test.ts</t>
        </is>
      </c>
      <c r="N170" s="12" t="inlineStr">
        <is>
          <t>Inspect calc + tests.</t>
        </is>
      </c>
      <c r="O170" s="12" t="inlineStr">
        <is>
          <t>Re-perform sample payslips.</t>
        </is>
      </c>
      <c r="P170" s="12" t="inlineStr">
        <is>
          <t>Payslip tests</t>
        </is>
      </c>
      <c r="Q170" s="18" t="inlineStr">
        <is>
          <t>Implemented</t>
        </is>
      </c>
    </row>
    <row r="171">
      <c r="A171" s="15" t="inlineStr">
        <is>
          <t>PAY-02</t>
        </is>
      </c>
      <c r="B171" s="16" t="inlineStr">
        <is>
          <t>Payroll</t>
        </is>
      </c>
      <c r="C171" s="17" t="inlineStr">
        <is>
          <t>Application</t>
        </is>
      </c>
      <c r="D171" s="16" t="inlineStr">
        <is>
          <t>Payroll liability</t>
        </is>
      </c>
      <c r="E171" s="16" t="inlineStr">
        <is>
          <t>Statutory withholdings (SSO/WHT/PF) mis-stated or not remitted, so the liability owed to the authorities diverges from the books.</t>
        </is>
      </c>
      <c r="F171" s="16" t="inlineStr">
        <is>
          <t>Accuracy/Compliance</t>
        </is>
      </c>
      <c r="G17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1" s="17" t="inlineStr">
        <is>
          <t>Det</t>
        </is>
      </c>
      <c r="I171" s="17" t="inlineStr">
        <is>
          <t>Automated</t>
        </is>
      </c>
      <c r="J171" s="17" t="inlineStr">
        <is>
          <t>Per run / monthly</t>
        </is>
      </c>
      <c r="K171" s="16" t="inlineStr">
        <is>
          <t>HR / Payroll / Treasury</t>
        </is>
      </c>
      <c r="L171" s="17" t="inlineStr">
        <is>
          <t>P10</t>
        </is>
      </c>
      <c r="M171" s="16" t="inlineStr">
        <is>
          <t>payroll/payroll.service.ts liabilities/remitLiability</t>
        </is>
      </c>
      <c r="N171" s="16" t="inlineStr">
        <is>
          <t>Inspect the schedule + the accrued/remitted/outstanding tie-out and the reconciled flag.</t>
        </is>
      </c>
      <c r="O171" s="16" t="inlineStr">
        <is>
          <t>Re-perform: run a payroll, confirm the SSO/WHT outstanding equals the payrun accrual; remit part and confirm the outstanding falls and the TB stays balanced; attempt an over-remit (REMIT_EXCEEDS_OUTSTANDING).</t>
        </is>
      </c>
      <c r="P171" s="16" t="inlineStr">
        <is>
          <t>Liability schedule + remittance JEs tied to filings</t>
        </is>
      </c>
      <c r="Q171" s="18" t="inlineStr">
        <is>
          <t>Implemented</t>
        </is>
      </c>
    </row>
    <row r="172">
      <c r="A172" s="11" t="inlineStr">
        <is>
          <t>PAY-03</t>
        </is>
      </c>
      <c r="B172" s="12" t="inlineStr">
        <is>
          <t>Payroll</t>
        </is>
      </c>
      <c r="C172" s="13" t="inlineStr">
        <is>
          <t>Application</t>
        </is>
      </c>
      <c r="D172" s="12" t="inlineStr">
        <is>
          <t>Payroll expense/liability; Cash</t>
        </is>
      </c>
      <c r="E172" s="12" t="inlineStr">
        <is>
          <t>Payroll run posted to the GL without independent review — the preparer both computes and posts their own payroll (ghost employees, inflated rate/hours).</t>
        </is>
      </c>
      <c r="F172" s="12" t="inlineStr">
        <is>
          <t>Authorization</t>
        </is>
      </c>
      <c r="G17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2" s="13" t="inlineStr">
        <is>
          <t>Prev</t>
        </is>
      </c>
      <c r="I172" s="13" t="inlineStr">
        <is>
          <t>Automated</t>
        </is>
      </c>
      <c r="J172" s="13" t="inlineStr">
        <is>
          <t>Per run</t>
        </is>
      </c>
      <c r="K172" s="12" t="inlineStr">
        <is>
          <t>HR / Payroll; Controller</t>
        </is>
      </c>
      <c r="L172" s="13" t="inlineStr">
        <is>
          <t>P10</t>
        </is>
      </c>
      <c r="M172" s="12" t="inlineStr">
        <is>
          <t>payroll/payroll.service.ts approvePayroll/rejectPayroll; migration 0133</t>
        </is>
      </c>
      <c r="N172" s="12" t="inlineStr">
        <is>
          <t>Inspect Draft→approve flow + the approver≠preparer check.</t>
        </is>
      </c>
      <c r="O172" s="12" t="inlineStr">
        <is>
          <t>Re-perform: run as A, attempt self-approve (SOD_VIOLATION), approve as B; confirm the JE hits balances only after approval.</t>
        </is>
      </c>
      <c r="P172" s="12" t="inlineStr">
        <is>
          <t>Approval log + SoD test</t>
        </is>
      </c>
      <c r="Q172" s="18" t="inlineStr">
        <is>
          <t>Implemented</t>
        </is>
      </c>
    </row>
    <row r="173">
      <c r="A173" s="15" t="inlineStr">
        <is>
          <t>PAY-04</t>
        </is>
      </c>
      <c r="B173" s="16" t="inlineStr">
        <is>
          <t>Payroll</t>
        </is>
      </c>
      <c r="C173" s="17" t="inlineStr">
        <is>
          <t>Application</t>
        </is>
      </c>
      <c r="D173" s="16" t="inlineStr">
        <is>
          <t>Payroll expense; Labor cost</t>
        </is>
      </c>
      <c r="E17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3" s="16" t="inlineStr">
        <is>
          <t>Accuracy/Completeness</t>
        </is>
      </c>
      <c r="G17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3" s="17" t="inlineStr">
        <is>
          <t>Det/Prev</t>
        </is>
      </c>
      <c r="I173" s="17" t="inlineStr">
        <is>
          <t>Auto+Manual</t>
        </is>
      </c>
      <c r="J173" s="17" t="inlineStr">
        <is>
          <t>Per shift / payroll cycle</t>
        </is>
      </c>
      <c r="K173" s="16" t="inlineStr">
        <is>
          <t>HR / Store Ops Mgr</t>
        </is>
      </c>
      <c r="L173" s="17" t="inlineStr">
        <is>
          <t>P10/P13</t>
        </is>
      </c>
      <c r="M17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3" s="16" t="inlineStr">
        <is>
          <t>Inspect the statutory-default overlay, the tier multipliers, the 48h cap + over_cap flag, and the labor-% threshold alert (raise/idempotent/resolve).</t>
        </is>
      </c>
      <c r="O17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3" s="16" t="inlineStr">
        <is>
          <t>labor_ot_rules + labor_alerts register; OT/labor-% test</t>
        </is>
      </c>
      <c r="Q173" s="18" t="inlineStr">
        <is>
          <t>Implemented</t>
        </is>
      </c>
    </row>
    <row r="174">
      <c r="A174" s="11" t="inlineStr">
        <is>
          <t>PAY-05</t>
        </is>
      </c>
      <c r="B174" s="12" t="inlineStr">
        <is>
          <t>Payroll</t>
        </is>
      </c>
      <c r="C174" s="13" t="inlineStr">
        <is>
          <t>Application</t>
        </is>
      </c>
      <c r="D174" s="12" t="inlineStr">
        <is>
          <t>Payroll expense; Labor hours</t>
        </is>
      </c>
      <c r="E17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4" s="12" t="inlineStr">
        <is>
          <t>Existence/Accuracy/Authorization</t>
        </is>
      </c>
      <c r="G17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4" s="13" t="inlineStr">
        <is>
          <t>Prev/Det</t>
        </is>
      </c>
      <c r="I174" s="13" t="inlineStr">
        <is>
          <t>Automated</t>
        </is>
      </c>
      <c r="J174" s="13" t="inlineStr">
        <is>
          <t>Per punch</t>
        </is>
      </c>
      <c r="K174" s="12" t="inlineStr">
        <is>
          <t>HR / Store Ops Mgr</t>
        </is>
      </c>
      <c r="L174" s="13" t="inlineStr">
        <is>
          <t>P10/P13</t>
        </is>
      </c>
      <c r="M17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4" s="12" t="inlineStr">
        <is>
          <t>Inspect the 15-min duplicate-punch guard, the method capture, the geofence pass/fail computation, and the supervisor-override reason + audit trail.</t>
        </is>
      </c>
      <c r="O17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4" s="12" t="inlineStr">
        <is>
          <t>time_clock method/geofence columns + override note; anti-buddy test</t>
        </is>
      </c>
      <c r="Q174" s="18" t="inlineStr">
        <is>
          <t>Implemented</t>
        </is>
      </c>
    </row>
    <row r="175">
      <c r="A175" s="15" t="inlineStr">
        <is>
          <t>FA-09</t>
        </is>
      </c>
      <c r="B175" s="16" t="inlineStr">
        <is>
          <t>Fixed Assets</t>
        </is>
      </c>
      <c r="C175" s="17" t="inlineStr">
        <is>
          <t>Application</t>
        </is>
      </c>
      <c r="D175" s="16" t="inlineStr">
        <is>
          <t>Property, Plant &amp; Equipment; Cash</t>
        </is>
      </c>
      <c r="E175" s="16" t="inlineStr">
        <is>
          <t>Asset disposed without independent review — one person writes an asset off the books and records the proceeds (asset-stripping / theft: dispose a still-held asset, or to a related party below value).</t>
        </is>
      </c>
      <c r="F175" s="16" t="inlineStr">
        <is>
          <t>Authorization</t>
        </is>
      </c>
      <c r="G17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5" s="17" t="inlineStr">
        <is>
          <t>Prev</t>
        </is>
      </c>
      <c r="I175" s="17" t="inlineStr">
        <is>
          <t>Automated</t>
        </is>
      </c>
      <c r="J175" s="17" t="inlineStr">
        <is>
          <t>Per disposal</t>
        </is>
      </c>
      <c r="K175" s="16" t="inlineStr">
        <is>
          <t>FaAccountant / Controller</t>
        </is>
      </c>
      <c r="L175" s="17" t="inlineStr">
        <is>
          <t>P10</t>
        </is>
      </c>
      <c r="M175" s="16" t="inlineStr">
        <is>
          <t>assets.service.ts dispose(pendingApproval Draft)/approveDisposal/rejectDisposal; assets.controller.ts (:assetNo/dispose/approve|reject); schema/assets.ts fixed_assets.disposal_pending + migration 0135; cutover/basics.ts + worldclass.ts + compliance.ts (ToE)</t>
        </is>
      </c>
      <c r="N175" s="16" t="inlineStr">
        <is>
          <t>Inspect Draft→approve flow + the approver≠requester check + deferred status/recycle.</t>
        </is>
      </c>
      <c r="O175" s="16" t="inlineStr">
        <is>
          <t>Re-perform: request a disposal (Draft JE excluded), attempt self-approve (SOD_VIOLATION), approve as a different user; confirm status→disposed + surplus recycled only after approval (re-performed by the harnesses).</t>
        </is>
      </c>
      <c r="P175" s="16" t="inlineStr">
        <is>
          <t>Disposal approval log + SoD test</t>
        </is>
      </c>
      <c r="Q175" s="18" t="inlineStr">
        <is>
          <t>Implemented</t>
        </is>
      </c>
    </row>
    <row r="176">
      <c r="A176" s="11" t="inlineStr">
        <is>
          <t>FA-10</t>
        </is>
      </c>
      <c r="B176" s="12" t="inlineStr">
        <is>
          <t>Fixed Assets</t>
        </is>
      </c>
      <c r="C176" s="13" t="inlineStr">
        <is>
          <t>Application</t>
        </is>
      </c>
      <c r="D176" s="12" t="inlineStr">
        <is>
          <t>Property, Plant &amp; Equipment; Accounts Payable</t>
        </is>
      </c>
      <c r="E176" s="12" t="inlineStr">
        <is>
          <t>Capital purchases mis-capitalised or capitalised without independent review — the person who receives the goods also decides what enters the asset register and at what cost/useful life (fictitious or over-valued assets; capex/opex mis-classification).</t>
        </is>
      </c>
      <c r="F176" s="12" t="inlineStr">
        <is>
          <t>Authorization; Accuracy</t>
        </is>
      </c>
      <c r="G17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6" s="13" t="inlineStr">
        <is>
          <t>Prev</t>
        </is>
      </c>
      <c r="I176" s="13" t="inlineStr">
        <is>
          <t>Automated</t>
        </is>
      </c>
      <c r="J176" s="13" t="inlineStr">
        <is>
          <t>Per capital receipt</t>
        </is>
      </c>
      <c r="K176" s="12" t="inlineStr">
        <is>
          <t>FaAccountant / Controller</t>
        </is>
      </c>
      <c r="L176" s="13" t="inlineStr">
        <is>
          <t>P10</t>
        </is>
      </c>
      <c r="M17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6" s="12" t="inlineStr">
        <is>
          <t>Inspect the eligible→request→approve flow + approver≠requester check + the inventory-vs-asset routing of capital lines.</t>
        </is>
      </c>
      <c r="O176" s="12" t="inlineStr">
        <is>
          <t>Re-perform: receive a capital line, raise a registration (no GL), attempt self-approve (SOD_VIOLATION), approve as a different user; confirm the asset + Dr 1500/Cr 2000 post only after approval and the line cannot be re-registered (re-performed by the harnesses).</t>
        </is>
      </c>
      <c r="P176" s="12" t="inlineStr">
        <is>
          <t>Capitalization approval log + SoD test</t>
        </is>
      </c>
      <c r="Q176" s="18" t="inlineStr">
        <is>
          <t>Implemented</t>
        </is>
      </c>
    </row>
    <row r="177">
      <c r="A177" s="15" t="inlineStr">
        <is>
          <t>CON-01</t>
        </is>
      </c>
      <c r="B177" s="16" t="inlineStr">
        <is>
          <t>Consolidation &amp; FX</t>
        </is>
      </c>
      <c r="C177" s="17" t="inlineStr">
        <is>
          <t>Application</t>
        </is>
      </c>
      <c r="D177" s="16" t="inlineStr">
        <is>
          <t>Consolidation</t>
        </is>
      </c>
      <c r="E177" s="16" t="inlineStr">
        <is>
          <t>Group consolidation mis-stated (ownership/currency).</t>
        </is>
      </c>
      <c r="F177" s="16" t="inlineStr">
        <is>
          <t>Accuracy</t>
        </is>
      </c>
      <c r="G177" s="16" t="inlineStr">
        <is>
          <t>Consolidation run (ownership %, entity currency) gated by 'approvals'.</t>
        </is>
      </c>
      <c r="H177" s="17" t="inlineStr">
        <is>
          <t>Auto+Manual</t>
        </is>
      </c>
      <c r="I177" s="17" t="inlineStr">
        <is>
          <t>Period</t>
        </is>
      </c>
      <c r="J177" s="17" t="inlineStr">
        <is>
          <t>Period</t>
        </is>
      </c>
      <c r="K177" s="16" t="inlineStr">
        <is>
          <t>Group Controller</t>
        </is>
      </c>
      <c r="L177" s="17" t="inlineStr">
        <is>
          <t>P10</t>
        </is>
      </c>
      <c r="M177" s="16" t="inlineStr">
        <is>
          <t>consolidation.service.ts (runConsolidation @Permissions approvals)</t>
        </is>
      </c>
      <c r="N177" s="16" t="inlineStr">
        <is>
          <t>Inspect consolidation logic + gate.</t>
        </is>
      </c>
      <c r="O177" s="16" t="inlineStr">
        <is>
          <t>Sample period: consolidated TB ties to entities.</t>
        </is>
      </c>
      <c r="P177" s="16" t="inlineStr">
        <is>
          <t>Consol TB</t>
        </is>
      </c>
      <c r="Q177" s="18" t="inlineStr">
        <is>
          <t>Implemented</t>
        </is>
      </c>
    </row>
    <row r="178">
      <c r="A178" s="11" t="inlineStr">
        <is>
          <t>CON-02</t>
        </is>
      </c>
      <c r="B178" s="12" t="inlineStr">
        <is>
          <t>Consolidation &amp; FX</t>
        </is>
      </c>
      <c r="C178" s="13" t="inlineStr">
        <is>
          <t>Application</t>
        </is>
      </c>
      <c r="D178" s="12" t="inlineStr">
        <is>
          <t>FX gain/loss</t>
        </is>
      </c>
      <c r="E178" s="12" t="inlineStr">
        <is>
          <t>FX exposures not revalued at period-end.</t>
        </is>
      </c>
      <c r="F178" s="12" t="inlineStr">
        <is>
          <t>Valuation</t>
        </is>
      </c>
      <c r="G178" s="12" t="inlineStr">
        <is>
          <t>FX revaluation at period-end rates; unrealized FX posted (acct 5400).</t>
        </is>
      </c>
      <c r="H178" s="13" t="inlineStr">
        <is>
          <t>Auto+Manual</t>
        </is>
      </c>
      <c r="I178" s="13" t="inlineStr">
        <is>
          <t>Period-end</t>
        </is>
      </c>
      <c r="J178" s="13" t="inlineStr">
        <is>
          <t>Period</t>
        </is>
      </c>
      <c r="K178" s="12" t="inlineStr">
        <is>
          <t>Controller</t>
        </is>
      </c>
      <c r="L178" s="13" t="inlineStr">
        <is>
          <t>P10</t>
        </is>
      </c>
      <c r="M178" s="12" t="inlineStr">
        <is>
          <t>fx.service.ts (revalue / unrealized report)</t>
        </is>
      </c>
      <c r="N178" s="12" t="inlineStr">
        <is>
          <t>Inspect reval logic + rates.</t>
        </is>
      </c>
      <c r="O178" s="12" t="inlineStr">
        <is>
          <t>Recompute reval on sample balances.</t>
        </is>
      </c>
      <c r="P178" s="12" t="inlineStr">
        <is>
          <t>FX reval JE</t>
        </is>
      </c>
      <c r="Q178" s="18" t="inlineStr">
        <is>
          <t>Implemented</t>
        </is>
      </c>
    </row>
    <row r="179">
      <c r="A179" s="15" t="inlineStr">
        <is>
          <t>CON-03</t>
        </is>
      </c>
      <c r="B179" s="16" t="inlineStr">
        <is>
          <t>Consolidation &amp; FX</t>
        </is>
      </c>
      <c r="C179" s="17" t="inlineStr">
        <is>
          <t>Application</t>
        </is>
      </c>
      <c r="D179" s="16" t="inlineStr">
        <is>
          <t>Consolidation</t>
        </is>
      </c>
      <c r="E179" s="16" t="inlineStr">
        <is>
          <t>Intercompany balances/transactions are not eliminated on consolidation, OR eliminations are mis-stated, so the consolidated group trial balance does not balance and group financials are overstated (IC double-counted).</t>
        </is>
      </c>
      <c r="F179" s="16" t="inlineStr">
        <is>
          <t>Accuracy/Completeness</t>
        </is>
      </c>
      <c r="G17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9" s="17" t="inlineStr">
        <is>
          <t>Prev</t>
        </is>
      </c>
      <c r="I179" s="17" t="inlineStr">
        <is>
          <t>Auto+Manual</t>
        </is>
      </c>
      <c r="J179" s="17" t="inlineStr">
        <is>
          <t>Period</t>
        </is>
      </c>
      <c r="K179" s="16" t="inlineStr">
        <is>
          <t>Group Controller</t>
        </is>
      </c>
      <c r="L179" s="17" t="inlineStr">
        <is>
          <t>P10</t>
        </is>
      </c>
      <c r="M17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9" s="16" t="inlineStr">
        <is>
          <t>Inspect the combine→eliminate→balance flow, the CONSOL_UNBALANCED guard, and the run→post approver≠runner check.</t>
        </is>
      </c>
      <c r="O179" s="16" t="inlineStr">
        <is>
          <t>Re-perform: run a group consolidation, confirm IC 1150/2150 eliminate and the consolidated TB balances; attempt self-post (SELF_POST); post as a different user (Posted); re-run the posted period (ALREADY_POSTED). Re-performed by the consolidation harness.</t>
        </is>
      </c>
      <c r="P179" s="16" t="inlineStr">
        <is>
          <t>Consolidated TB + elimination lines + post log</t>
        </is>
      </c>
      <c r="Q179" s="18" t="inlineStr">
        <is>
          <t>Implemented</t>
        </is>
      </c>
    </row>
    <row r="180">
      <c r="A180" s="11" t="inlineStr">
        <is>
          <t>CON-04</t>
        </is>
      </c>
      <c r="B180" s="12" t="inlineStr">
        <is>
          <t>Consolidation &amp; FX</t>
        </is>
      </c>
      <c r="C180" s="13" t="inlineStr">
        <is>
          <t>Application</t>
        </is>
      </c>
      <c r="D180" s="12" t="inlineStr">
        <is>
          <t>All (segment disclosure)</t>
        </is>
      </c>
      <c r="E180" s="12" t="inlineStr">
        <is>
          <t>Segment (branch/project/department) operating results are not reported, so IFRS 8 segment disclosure is incomplete or inaccurate and management/investors cannot see results by reportable segment.</t>
        </is>
      </c>
      <c r="F180" s="12" t="inlineStr">
        <is>
          <t>Presentation/Disclosure</t>
        </is>
      </c>
      <c r="G18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0" s="13" t="inlineStr">
        <is>
          <t>Det</t>
        </is>
      </c>
      <c r="I180" s="13" t="inlineStr">
        <is>
          <t>Auto+Manual</t>
        </is>
      </c>
      <c r="J180" s="13" t="inlineStr">
        <is>
          <t>Period</t>
        </is>
      </c>
      <c r="K180" s="12" t="inlineStr">
        <is>
          <t>Group Controller</t>
        </is>
      </c>
      <c r="L180" s="13" t="inlineStr">
        <is>
          <t>P10</t>
        </is>
      </c>
      <c r="M180" s="12" t="inlineStr">
        <is>
          <t>consolidation.service.ts defineSegment/listSegments/segmentReport; consolidation.controller.ts (segments, segment-report @exec); schema/consolidation.ts segment_definitions + migration 0170; cutover/consolidation.ts (ToE)</t>
        </is>
      </c>
      <c r="N180" s="12" t="inlineStr">
        <is>
          <t>Inspect the segment mapping + the dimension-grouped P&amp;L aggregation.</t>
        </is>
      </c>
      <c r="O180" s="12" t="inlineStr">
        <is>
          <t>Re-perform: define a segment over branches, run the segment report for a period, confirm revenue/expense/net tie to the underlying dimensioned postings. Re-performed by the consolidation harness.</t>
        </is>
      </c>
      <c r="P180" s="12" t="inlineStr">
        <is>
          <t>Segment P&amp;L report</t>
        </is>
      </c>
      <c r="Q180" s="18" t="inlineStr">
        <is>
          <t>Implemented</t>
        </is>
      </c>
    </row>
    <row r="181">
      <c r="A181" s="15" t="inlineStr">
        <is>
          <t>FX-04</t>
        </is>
      </c>
      <c r="B181" s="16" t="inlineStr">
        <is>
          <t>Consolidation &amp; FX</t>
        </is>
      </c>
      <c r="C181" s="17" t="inlineStr">
        <is>
          <t>Application</t>
        </is>
      </c>
      <c r="D181" s="16" t="inlineStr">
        <is>
          <t>FX gain/loss; Revenue; AR/AP</t>
        </is>
      </c>
      <c r="E181" s="16" t="inlineStr">
        <is>
          <t>A wrong manually-entered FX rate (fat-fingered, e.g. USD 36 keyed as 63) flows straight into a period-end revaluation JE and the unrealized-FX report with no independent review — mis-stating earnings/equity and FX-translated balances.</t>
        </is>
      </c>
      <c r="F181" s="16" t="inlineStr">
        <is>
          <t>Accuracy/Valuation</t>
        </is>
      </c>
      <c r="G18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1" s="17" t="inlineStr">
        <is>
          <t>Prev</t>
        </is>
      </c>
      <c r="I181" s="17" t="inlineStr">
        <is>
          <t>Automated</t>
        </is>
      </c>
      <c r="J181" s="17" t="inlineStr">
        <is>
          <t>Per rate</t>
        </is>
      </c>
      <c r="K181" s="16" t="inlineStr">
        <is>
          <t>Controller / Treasury</t>
        </is>
      </c>
      <c r="L181" s="17" t="inlineStr">
        <is>
          <t>P10</t>
        </is>
      </c>
      <c r="M18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1" s="16" t="inlineStr">
        <is>
          <t>Inspect the request→approve flow + the approver≠requester check + that revaluation/reporting resolve Approved rates only.</t>
        </is>
      </c>
      <c r="O181" s="16" t="inlineStr">
        <is>
          <t>Re-perform: enter a manual rate (PendingApproval), confirm revalue is blocked NO_RATE while pending, attempt self-approve (SOD_VIOLATION), approve as a different user, then revalue succeeds (re-performed by the fxreval harness).</t>
        </is>
      </c>
      <c r="P181" s="16" t="inlineStr">
        <is>
          <t>FX rate approval log + SoD test</t>
        </is>
      </c>
      <c r="Q181" s="18" t="inlineStr">
        <is>
          <t>Implemented</t>
        </is>
      </c>
    </row>
    <row r="182">
      <c r="A182" s="11" t="inlineStr">
        <is>
          <t>BUD-01</t>
        </is>
      </c>
      <c r="B182" s="12" t="inlineStr">
        <is>
          <t>Budgeting &amp; Planning</t>
        </is>
      </c>
      <c r="C182" s="13" t="inlineStr">
        <is>
          <t>Application</t>
        </is>
      </c>
      <c r="D182" s="12" t="inlineStr">
        <is>
          <t>Budget; All (variance reporting)</t>
        </is>
      </c>
      <c r="E18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2" s="12" t="inlineStr">
        <is>
          <t>Authorization/Accuracy</t>
        </is>
      </c>
      <c r="G18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2" s="13" t="inlineStr">
        <is>
          <t>Prev</t>
        </is>
      </c>
      <c r="I182" s="13" t="inlineStr">
        <is>
          <t>Automated</t>
        </is>
      </c>
      <c r="J182" s="13" t="inlineStr">
        <is>
          <t>Per budget</t>
        </is>
      </c>
      <c r="K182" s="12" t="inlineStr">
        <is>
          <t>Controller / FP&amp;A</t>
        </is>
      </c>
      <c r="L182" s="13" t="inlineStr">
        <is>
          <t>P10</t>
        </is>
      </c>
      <c r="M182" s="12" t="inlineStr">
        <is>
          <t>budget.service.ts upsertBudget(→PendingApproval)/approveBudget/rejectBudget/budgetVsActual(Approved only); budget.controller.ts (budgets/approve|reject|pending gated approvals/gl_close); schema/budgets.ts budgets.status + migration 0142; cutover/budget.ts (ToE)</t>
        </is>
      </c>
      <c r="N182" s="12" t="inlineStr">
        <is>
          <t>Inspect the request→approve flow + the approver≠requester check + that budget-vs-actual counts Approved budgets only.</t>
        </is>
      </c>
      <c r="O182" s="12" t="inlineStr">
        <is>
          <t>Re-perform: upsert a budget (PendingApproval, excluded from variance), attempt self-approve (SOD_VIOLATION), approve as a different user, confirm it then appears in budget-vs-actual (re-performed by the budget harness).</t>
        </is>
      </c>
      <c r="P182" s="12" t="inlineStr">
        <is>
          <t>Budget approval log + SoD test</t>
        </is>
      </c>
      <c r="Q182" s="18" t="inlineStr">
        <is>
          <t>Implemented</t>
        </is>
      </c>
    </row>
  </sheetData>
  <autoFilter ref="A1:Q18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COUNTIF(RCM!$Q$2:$Q$182,B5)</f>
        <v/>
      </c>
    </row>
    <row r="6">
      <c r="B6" s="27" t="inlineStr">
        <is>
          <t>Partial</t>
        </is>
      </c>
      <c r="C6" s="26">
        <f>COUNTIF(RCM!$Q$2:$Q$182,B6)</f>
        <v/>
      </c>
    </row>
    <row r="7">
      <c r="B7" s="28" t="inlineStr">
        <is>
          <t>Gap</t>
        </is>
      </c>
      <c r="C7" s="26">
        <f>COUNTIF(RCM!$Q$2:$Q$182,B7)</f>
        <v/>
      </c>
    </row>
    <row r="8">
      <c r="B8" s="29" t="inlineStr">
        <is>
          <t>Total</t>
        </is>
      </c>
      <c r="C8" s="29">
        <f>COUNTA(RCM!$A$2:$A$182)</f>
        <v/>
      </c>
    </row>
    <row r="10">
      <c r="B10" s="24" t="inlineStr">
        <is>
          <t>By Category</t>
        </is>
      </c>
    </row>
    <row r="11">
      <c r="B11" s="26" t="inlineStr">
        <is>
          <t>Entity</t>
        </is>
      </c>
      <c r="C11" s="26">
        <f>COUNTIF(RCM!$C$2:$C$182,B11)</f>
        <v/>
      </c>
    </row>
    <row r="12">
      <c r="B12" s="26" t="inlineStr">
        <is>
          <t>ITGC</t>
        </is>
      </c>
      <c r="C12" s="26">
        <f>COUNTIF(RCM!$C$2:$C$182,B12)</f>
        <v/>
      </c>
    </row>
    <row r="13">
      <c r="B13" s="26" t="inlineStr">
        <is>
          <t>Application</t>
        </is>
      </c>
      <c r="C13" s="26">
        <f>COUNTIF(RCM!$C$2:$C$182,B13)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2026-07-04T10:12:28Z</dcterms:created>
  <dcterms:modified xsi:type="dcterms:W3CDTF">2026-07-04T10:12:29Z</dcterms:modified>
</cp:coreProperties>
</file>