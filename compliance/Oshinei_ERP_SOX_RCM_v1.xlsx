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Cash; Accounts Receivable (1100); Unapplied Customer Receipts (2220)</t>
        </is>
      </c>
      <c r="E71"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1" s="16" t="inlineStr">
        <is>
          <t>Completeness/Accuracy/Authorization</t>
        </is>
      </c>
      <c r="G71"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1" s="17" t="inlineStr">
        <is>
          <t>Prev</t>
        </is>
      </c>
      <c r="I71" s="17" t="inlineStr">
        <is>
          <t>Automated</t>
        </is>
      </c>
      <c r="J71" s="17" t="inlineStr">
        <is>
          <t>Per receipt / continuous</t>
        </is>
      </c>
      <c r="K71" s="16" t="inlineStr">
        <is>
          <t>AR Clerk / Controller</t>
        </is>
      </c>
      <c r="L71" s="17" t="inlineStr">
        <is>
          <t>P10</t>
        </is>
      </c>
      <c r="M71"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0294; COA/CF_CLASSIFY 2220; finance.service.ts arAging on_account + customerStatement credit-note lines + pendingApprovals REV-20 source; collections worklist on_account; cutover/basics.ts (ToE)</t>
        </is>
      </c>
      <c r="N71" s="16" t="inlineStr">
        <is>
          <t>Inspect the worksheet guards (receipt cap, per-invoice open-balance cap incl. pending, customer match), the on-account tracking (receipt unapplied ↔ GL 2220), the threshold park + approver≠poster check, and the reversal audit (reason, who, when).</t>
        </is>
      </c>
      <c r="O71"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1" s="16" t="inlineStr">
        <is>
          <t>Cash-application register; on-account (2220) tie-out; SoD + reversal audit tests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PAY-01</t>
        </is>
      </c>
      <c r="B189" s="16" t="inlineStr">
        <is>
          <t>Payroll</t>
        </is>
      </c>
      <c r="C189" s="17" t="inlineStr">
        <is>
          <t>Application</t>
        </is>
      </c>
      <c r="D189" s="16" t="inlineStr">
        <is>
          <t>Payroll expense/liability</t>
        </is>
      </c>
      <c r="E189" s="16" t="inlineStr">
        <is>
          <t>Payroll, SSO and PIT mis-computed.</t>
        </is>
      </c>
      <c r="F189" s="16" t="inlineStr">
        <is>
          <t>Accuracy</t>
        </is>
      </c>
      <c r="G189" s="16" t="inlineStr">
        <is>
          <t>Payroll engine — SSO 5% (cap 750), progressive PIT, payslip net; unit-tested.</t>
        </is>
      </c>
      <c r="H189" s="17" t="inlineStr">
        <is>
          <t>Auto</t>
        </is>
      </c>
      <c r="I189" s="17" t="inlineStr">
        <is>
          <t>Automated</t>
        </is>
      </c>
      <c r="J189" s="17" t="inlineStr">
        <is>
          <t>Per run</t>
        </is>
      </c>
      <c r="K189" s="16" t="inlineStr">
        <is>
          <t>HR / Payroll</t>
        </is>
      </c>
      <c r="L189" s="17" t="inlineStr">
        <is>
          <t>P10</t>
        </is>
      </c>
      <c r="M189" s="16" t="inlineStr">
        <is>
          <t>payroll/payroll-calc.ts; test/unit.test.ts</t>
        </is>
      </c>
      <c r="N189" s="16" t="inlineStr">
        <is>
          <t>Inspect calc + tests.</t>
        </is>
      </c>
      <c r="O189" s="16" t="inlineStr">
        <is>
          <t>Re-perform sample payslips.</t>
        </is>
      </c>
      <c r="P189" s="16" t="inlineStr">
        <is>
          <t>Payslip tests</t>
        </is>
      </c>
      <c r="Q189" s="18" t="inlineStr">
        <is>
          <t>Implemented</t>
        </is>
      </c>
    </row>
    <row r="190">
      <c r="A190" s="11" t="inlineStr">
        <is>
          <t>PAY-02</t>
        </is>
      </c>
      <c r="B190" s="12" t="inlineStr">
        <is>
          <t>Payroll</t>
        </is>
      </c>
      <c r="C190" s="13" t="inlineStr">
        <is>
          <t>Application</t>
        </is>
      </c>
      <c r="D190" s="12" t="inlineStr">
        <is>
          <t>Payroll liability</t>
        </is>
      </c>
      <c r="E190" s="12" t="inlineStr">
        <is>
          <t>Statutory withholdings (SSO/WHT/PF) mis-stated or not remitted, so the liability owed to the authorities diverges from the books.</t>
        </is>
      </c>
      <c r="F190" s="12" t="inlineStr">
        <is>
          <t>Accuracy/Compliance</t>
        </is>
      </c>
      <c r="G19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0" s="13" t="inlineStr">
        <is>
          <t>Det</t>
        </is>
      </c>
      <c r="I190" s="13" t="inlineStr">
        <is>
          <t>Automated</t>
        </is>
      </c>
      <c r="J190" s="13" t="inlineStr">
        <is>
          <t>Per run / monthly</t>
        </is>
      </c>
      <c r="K190" s="12" t="inlineStr">
        <is>
          <t>HR / Payroll / Treasury</t>
        </is>
      </c>
      <c r="L190" s="13" t="inlineStr">
        <is>
          <t>P10</t>
        </is>
      </c>
      <c r="M190" s="12" t="inlineStr">
        <is>
          <t>payroll/payroll.service.ts liabilities/remitLiability</t>
        </is>
      </c>
      <c r="N190" s="12" t="inlineStr">
        <is>
          <t>Inspect the schedule + the accrued/remitted/outstanding tie-out and the reconciled flag.</t>
        </is>
      </c>
      <c r="O190" s="12" t="inlineStr">
        <is>
          <t>Re-perform: run a payroll, confirm the SSO/WHT outstanding equals the payrun accrual; remit part and confirm the outstanding falls and the TB stays balanced; attempt an over-remit (REMIT_EXCEEDS_OUTSTANDING).</t>
        </is>
      </c>
      <c r="P190" s="12" t="inlineStr">
        <is>
          <t>Liability schedule + remittance JEs tied to filings</t>
        </is>
      </c>
      <c r="Q190" s="18" t="inlineStr">
        <is>
          <t>Implemented</t>
        </is>
      </c>
    </row>
    <row r="191">
      <c r="A191" s="15" t="inlineStr">
        <is>
          <t>PAY-03</t>
        </is>
      </c>
      <c r="B191" s="16" t="inlineStr">
        <is>
          <t>Payroll</t>
        </is>
      </c>
      <c r="C191" s="17" t="inlineStr">
        <is>
          <t>Application</t>
        </is>
      </c>
      <c r="D191" s="16" t="inlineStr">
        <is>
          <t>Payroll expense/liability; Cash</t>
        </is>
      </c>
      <c r="E191" s="16" t="inlineStr">
        <is>
          <t>Payroll run posted to the GL without independent review — the preparer both computes and posts their own payroll (ghost employees, inflated rate/hours).</t>
        </is>
      </c>
      <c r="F191" s="16" t="inlineStr">
        <is>
          <t>Authorization</t>
        </is>
      </c>
      <c r="G19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1" s="17" t="inlineStr">
        <is>
          <t>Prev</t>
        </is>
      </c>
      <c r="I191" s="17" t="inlineStr">
        <is>
          <t>Automated</t>
        </is>
      </c>
      <c r="J191" s="17" t="inlineStr">
        <is>
          <t>Per run</t>
        </is>
      </c>
      <c r="K191" s="16" t="inlineStr">
        <is>
          <t>HR / Payroll; Controller</t>
        </is>
      </c>
      <c r="L191" s="17" t="inlineStr">
        <is>
          <t>P10</t>
        </is>
      </c>
      <c r="M191" s="16" t="inlineStr">
        <is>
          <t>payroll/payroll.service.ts approvePayroll/rejectPayroll; migration 0133</t>
        </is>
      </c>
      <c r="N191" s="16" t="inlineStr">
        <is>
          <t>Inspect Draft→approve flow + the approver≠preparer check.</t>
        </is>
      </c>
      <c r="O191" s="16" t="inlineStr">
        <is>
          <t>Re-perform: run as A, attempt self-approve (SOD_VIOLATION), approve as B; confirm the JE hits balances only after approval.</t>
        </is>
      </c>
      <c r="P191" s="16" t="inlineStr">
        <is>
          <t>Approval log + SoD test</t>
        </is>
      </c>
      <c r="Q191" s="18" t="inlineStr">
        <is>
          <t>Implemented</t>
        </is>
      </c>
    </row>
    <row r="192">
      <c r="A192" s="11" t="inlineStr">
        <is>
          <t>PAY-04</t>
        </is>
      </c>
      <c r="B192" s="12" t="inlineStr">
        <is>
          <t>Payroll</t>
        </is>
      </c>
      <c r="C192" s="13" t="inlineStr">
        <is>
          <t>Application</t>
        </is>
      </c>
      <c r="D192" s="12" t="inlineStr">
        <is>
          <t>Payroll expense; Labor cost</t>
        </is>
      </c>
      <c r="E19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2" s="12" t="inlineStr">
        <is>
          <t>Accuracy/Completeness</t>
        </is>
      </c>
      <c r="G19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2" s="13" t="inlineStr">
        <is>
          <t>Det/Prev</t>
        </is>
      </c>
      <c r="I192" s="13" t="inlineStr">
        <is>
          <t>Auto+Manual</t>
        </is>
      </c>
      <c r="J192" s="13" t="inlineStr">
        <is>
          <t>Per shift / payroll cycle</t>
        </is>
      </c>
      <c r="K192" s="12" t="inlineStr">
        <is>
          <t>HR / Store Ops Mgr</t>
        </is>
      </c>
      <c r="L192" s="13" t="inlineStr">
        <is>
          <t>P10/P13</t>
        </is>
      </c>
      <c r="M19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2" s="12" t="inlineStr">
        <is>
          <t>Inspect the statutory-default overlay, the tier multipliers, the 48h cap + over_cap flag, and the labor-% threshold alert (raise/idempotent/resolve).</t>
        </is>
      </c>
      <c r="O19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2" s="12" t="inlineStr">
        <is>
          <t>labor_ot_rules + labor_alerts register; OT/labor-% test</t>
        </is>
      </c>
      <c r="Q192" s="18" t="inlineStr">
        <is>
          <t>Implemented</t>
        </is>
      </c>
    </row>
    <row r="193">
      <c r="A193" s="15" t="inlineStr">
        <is>
          <t>PAY-05</t>
        </is>
      </c>
      <c r="B193" s="16" t="inlineStr">
        <is>
          <t>Payroll</t>
        </is>
      </c>
      <c r="C193" s="17" t="inlineStr">
        <is>
          <t>Application</t>
        </is>
      </c>
      <c r="D193" s="16" t="inlineStr">
        <is>
          <t>Payroll expense; Labor hours</t>
        </is>
      </c>
      <c r="E19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3" s="16" t="inlineStr">
        <is>
          <t>Existence/Accuracy/Authorization</t>
        </is>
      </c>
      <c r="G19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3" s="17" t="inlineStr">
        <is>
          <t>Prev/Det</t>
        </is>
      </c>
      <c r="I193" s="17" t="inlineStr">
        <is>
          <t>Automated</t>
        </is>
      </c>
      <c r="J193" s="17" t="inlineStr">
        <is>
          <t>Per punch</t>
        </is>
      </c>
      <c r="K193" s="16" t="inlineStr">
        <is>
          <t>HR / Store Ops Mgr</t>
        </is>
      </c>
      <c r="L193" s="17" t="inlineStr">
        <is>
          <t>P10/P13</t>
        </is>
      </c>
      <c r="M19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3" s="16" t="inlineStr">
        <is>
          <t>Inspect the 15-min duplicate-punch guard, the method capture, the geofence pass/fail computation, and the supervisor-override reason + audit trail.</t>
        </is>
      </c>
      <c r="O19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3" s="16" t="inlineStr">
        <is>
          <t>time_clock method/geofence columns + override note; anti-buddy test</t>
        </is>
      </c>
      <c r="Q193" s="18" t="inlineStr">
        <is>
          <t>Implemented</t>
        </is>
      </c>
    </row>
    <row r="194">
      <c r="A194" s="11" t="inlineStr">
        <is>
          <t>PAY-06</t>
        </is>
      </c>
      <c r="B194" s="12" t="inlineStr">
        <is>
          <t>Payroll</t>
        </is>
      </c>
      <c r="C194" s="13" t="inlineStr">
        <is>
          <t>Application</t>
        </is>
      </c>
      <c r="D194" s="12" t="inlineStr">
        <is>
          <t>Payroll PII; Payslip</t>
        </is>
      </c>
      <c r="E19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4" s="12" t="inlineStr">
        <is>
          <t>Confidentiality/Restricted access</t>
        </is>
      </c>
      <c r="G19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4" s="13" t="inlineStr">
        <is>
          <t>Prev</t>
        </is>
      </c>
      <c r="I194" s="13" t="inlineStr">
        <is>
          <t>Automated</t>
        </is>
      </c>
      <c r="J194" s="13" t="inlineStr">
        <is>
          <t>Per access</t>
        </is>
      </c>
      <c r="K194" s="12" t="inlineStr">
        <is>
          <t>HR / Payroll; DPO</t>
        </is>
      </c>
      <c r="L194" s="13" t="inlineStr">
        <is>
          <t>P10</t>
        </is>
      </c>
      <c r="M19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4" s="12" t="inlineStr">
        <is>
          <t>Inspect the me()-&gt;employee_id predicate on the ESS route, the HR-route permission gate, and the last-4 citizen-ID mask.</t>
        </is>
      </c>
      <c r="O19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4" s="12" t="inlineStr">
        <is>
          <t>PDPA payslip-access test (own-200/other-404/HR-403) + masked-ID render</t>
        </is>
      </c>
      <c r="Q194" s="18" t="inlineStr">
        <is>
          <t>Implemented</t>
        </is>
      </c>
    </row>
    <row r="195">
      <c r="A195" s="15" t="inlineStr">
        <is>
          <t>FA-09</t>
        </is>
      </c>
      <c r="B195" s="16" t="inlineStr">
        <is>
          <t>Fixed Assets</t>
        </is>
      </c>
      <c r="C195" s="17" t="inlineStr">
        <is>
          <t>Application</t>
        </is>
      </c>
      <c r="D195" s="16" t="inlineStr">
        <is>
          <t>Property, Plant &amp; Equipment; Cash</t>
        </is>
      </c>
      <c r="E195" s="16" t="inlineStr">
        <is>
          <t>Asset disposed without independent review — one person writes an asset off the books and records the proceeds (asset-stripping / theft: dispose a still-held asset, or to a related party below value).</t>
        </is>
      </c>
      <c r="F195" s="16" t="inlineStr">
        <is>
          <t>Authorization</t>
        </is>
      </c>
      <c r="G19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5" s="17" t="inlineStr">
        <is>
          <t>Prev</t>
        </is>
      </c>
      <c r="I195" s="17" t="inlineStr">
        <is>
          <t>Automated</t>
        </is>
      </c>
      <c r="J195" s="17" t="inlineStr">
        <is>
          <t>Per disposal</t>
        </is>
      </c>
      <c r="K195" s="16" t="inlineStr">
        <is>
          <t>FaAccountant / Controller</t>
        </is>
      </c>
      <c r="L195" s="17" t="inlineStr">
        <is>
          <t>P10</t>
        </is>
      </c>
      <c r="M195" s="16" t="inlineStr">
        <is>
          <t>assets.service.ts dispose(pendingApproval Draft)/approveDisposal/rejectDisposal; assets.controller.ts (:assetNo/dispose/approve|reject); schema/assets.ts fixed_assets.disposal_pending + migration 0135; cutover/basics.ts + worldclass.ts + compliance.ts (ToE)</t>
        </is>
      </c>
      <c r="N195" s="16" t="inlineStr">
        <is>
          <t>Inspect Draft→approve flow + the approver≠requester check + deferred status/recycle.</t>
        </is>
      </c>
      <c r="O195" s="16" t="inlineStr">
        <is>
          <t>Re-perform: request a disposal (Draft JE excluded), attempt self-approve (SOD_VIOLATION), approve as a different user; confirm status→disposed + surplus recycled only after approval (re-performed by the harnesses).</t>
        </is>
      </c>
      <c r="P195" s="16" t="inlineStr">
        <is>
          <t>Disposal approval log + SoD test</t>
        </is>
      </c>
      <c r="Q195" s="18" t="inlineStr">
        <is>
          <t>Implemented</t>
        </is>
      </c>
    </row>
    <row r="196">
      <c r="A196" s="11" t="inlineStr">
        <is>
          <t>FA-10</t>
        </is>
      </c>
      <c r="B196" s="12" t="inlineStr">
        <is>
          <t>Fixed Assets</t>
        </is>
      </c>
      <c r="C196" s="13" t="inlineStr">
        <is>
          <t>Application</t>
        </is>
      </c>
      <c r="D196" s="12" t="inlineStr">
        <is>
          <t>Property, Plant &amp; Equipment; Accounts Payable</t>
        </is>
      </c>
      <c r="E196" s="12" t="inlineStr">
        <is>
          <t>Capital purchases mis-capitalised or capitalised without independent review — the person who receives the goods also decides what enters the asset register and at what cost/useful life (fictitious or over-valued assets; capex/opex mis-classification).</t>
        </is>
      </c>
      <c r="F196" s="12" t="inlineStr">
        <is>
          <t>Authorization; Accuracy</t>
        </is>
      </c>
      <c r="G19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6" s="13" t="inlineStr">
        <is>
          <t>Prev</t>
        </is>
      </c>
      <c r="I196" s="13" t="inlineStr">
        <is>
          <t>Automated</t>
        </is>
      </c>
      <c r="J196" s="13" t="inlineStr">
        <is>
          <t>Per capital receipt</t>
        </is>
      </c>
      <c r="K196" s="12" t="inlineStr">
        <is>
          <t>FaAccountant / Controller</t>
        </is>
      </c>
      <c r="L196" s="13" t="inlineStr">
        <is>
          <t>P10</t>
        </is>
      </c>
      <c r="M19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6" s="12" t="inlineStr">
        <is>
          <t>Inspect the eligible→request→approve flow + approver≠requester check + the inventory-vs-asset routing of capital lines.</t>
        </is>
      </c>
      <c r="O196" s="12" t="inlineStr">
        <is>
          <t>Re-perform: receive a capital line, raise a registration (no GL), attempt self-approve (SOD_VIOLATION), approve as a different user; confirm the asset + Dr 1500/Cr 2000 post only after approval and the line cannot be re-registered (re-performed by the harnesses).</t>
        </is>
      </c>
      <c r="P196" s="12" t="inlineStr">
        <is>
          <t>Capitalization approval log + SoD test</t>
        </is>
      </c>
      <c r="Q196" s="18" t="inlineStr">
        <is>
          <t>Implemented</t>
        </is>
      </c>
    </row>
    <row r="197">
      <c r="A197" s="15" t="inlineStr">
        <is>
          <t>FA-11</t>
        </is>
      </c>
      <c r="B197" s="16" t="inlineStr">
        <is>
          <t>Fixed Assets</t>
        </is>
      </c>
      <c r="C197" s="17" t="inlineStr">
        <is>
          <t>Application</t>
        </is>
      </c>
      <c r="D197" s="16" t="inlineStr">
        <is>
          <t>Property, Plant &amp; Equipment</t>
        </is>
      </c>
      <c r="E19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7" s="16" t="inlineStr">
        <is>
          <t>Authorization; Existence</t>
        </is>
      </c>
      <c r="G19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7" s="17" t="inlineStr">
        <is>
          <t>Prev / Det</t>
        </is>
      </c>
      <c r="I197" s="17" t="inlineStr">
        <is>
          <t>Automated</t>
        </is>
      </c>
      <c r="J197" s="17" t="inlineStr">
        <is>
          <t>Per custody move / per audit</t>
        </is>
      </c>
      <c r="K197" s="16" t="inlineStr">
        <is>
          <t>FaAccountant / Controller</t>
        </is>
      </c>
      <c r="L197" s="17" t="inlineStr">
        <is>
          <t>P10</t>
        </is>
      </c>
      <c r="M19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7" s="16" t="inlineStr">
        <is>
          <t>Inspect the scan-&gt;request-&gt;approve flow + the approver!=requester check + the audit reconcile-&gt;custody-request path.</t>
        </is>
      </c>
      <c r="O19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7" s="16" t="inlineStr">
        <is>
          <t>Custody-change approval log + audit reconciliation + SoD test</t>
        </is>
      </c>
      <c r="Q197" s="18" t="inlineStr">
        <is>
          <t>Implemented</t>
        </is>
      </c>
    </row>
    <row r="198">
      <c r="A198" s="11" t="inlineStr">
        <is>
          <t>FA-12</t>
        </is>
      </c>
      <c r="B198" s="12" t="inlineStr">
        <is>
          <t>Fixed Assets</t>
        </is>
      </c>
      <c r="C198" s="13" t="inlineStr">
        <is>
          <t>Detective</t>
        </is>
      </c>
      <c r="D198" s="12" t="inlineStr">
        <is>
          <t>Property, Plant &amp; Equipment</t>
        </is>
      </c>
      <c r="E198" s="12" t="inlineStr">
        <is>
          <t>Assets exist on the register but are never physically confirmed — a missing/stolen/scrapped asset stays on the books indefinitely because no periodic existence check flags it, overstating PPE and the existence assertion.</t>
        </is>
      </c>
      <c r="F198" s="12" t="inlineStr">
        <is>
          <t>Existence; Completeness</t>
        </is>
      </c>
      <c r="G19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8" s="13" t="inlineStr">
        <is>
          <t>Det</t>
        </is>
      </c>
      <c r="I198" s="13" t="inlineStr">
        <is>
          <t>Automated</t>
        </is>
      </c>
      <c r="J198" s="13" t="inlineStr">
        <is>
          <t>Monthly (scheduled) / on demand</t>
        </is>
      </c>
      <c r="K198" s="12" t="inlineStr">
        <is>
          <t>FaAccountant / Controller</t>
        </is>
      </c>
      <c r="L198" s="13" t="inlineStr">
        <is>
          <t>P16</t>
        </is>
      </c>
      <c r="M198" s="12" t="inlineStr">
        <is>
          <t>assets.service.ts unverifiedAssets/auditReport; assets.controller.ts (unverified, audit-report); bi.service.ts REPORT_TYPES asset_verification_exceptions + asset_audit + generateReport blocks; bi.module.ts imports AssetsModule; cutover/module-qr.ts (ToE)</t>
        </is>
      </c>
      <c r="N198" s="12" t="inlineStr">
        <is>
          <t>Inspect the exception query (last Scan Verify/Update vs N-day threshold, acquisition-date fallback) and that the report is a registered, schedulable BI type.</t>
        </is>
      </c>
      <c r="O19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8" s="12" t="inlineStr">
        <is>
          <t>Scheduled exception report runs + exception list + verification-movement log</t>
        </is>
      </c>
      <c r="Q198" s="18" t="inlineStr">
        <is>
          <t>Implemented</t>
        </is>
      </c>
    </row>
    <row r="199">
      <c r="A199" s="15" t="inlineStr">
        <is>
          <t>CON-01</t>
        </is>
      </c>
      <c r="B199" s="16" t="inlineStr">
        <is>
          <t>Consolidation &amp; FX</t>
        </is>
      </c>
      <c r="C199" s="17" t="inlineStr">
        <is>
          <t>Application</t>
        </is>
      </c>
      <c r="D199" s="16" t="inlineStr">
        <is>
          <t>Consolidation</t>
        </is>
      </c>
      <c r="E199" s="16" t="inlineStr">
        <is>
          <t>Group consolidation mis-stated (ownership/currency).</t>
        </is>
      </c>
      <c r="F199" s="16" t="inlineStr">
        <is>
          <t>Accuracy</t>
        </is>
      </c>
      <c r="G199" s="16" t="inlineStr">
        <is>
          <t>Consolidation run (ownership %, entity currency) gated by 'approvals'.</t>
        </is>
      </c>
      <c r="H199" s="17" t="inlineStr">
        <is>
          <t>Auto+Manual</t>
        </is>
      </c>
      <c r="I199" s="17" t="inlineStr">
        <is>
          <t>Period</t>
        </is>
      </c>
      <c r="J199" s="17" t="inlineStr">
        <is>
          <t>Period</t>
        </is>
      </c>
      <c r="K199" s="16" t="inlineStr">
        <is>
          <t>Group Controller</t>
        </is>
      </c>
      <c r="L199" s="17" t="inlineStr">
        <is>
          <t>P10</t>
        </is>
      </c>
      <c r="M199" s="16" t="inlineStr">
        <is>
          <t>consolidation.service.ts (runConsolidation @Permissions approvals)</t>
        </is>
      </c>
      <c r="N199" s="16" t="inlineStr">
        <is>
          <t>Inspect consolidation logic + gate.</t>
        </is>
      </c>
      <c r="O199" s="16" t="inlineStr">
        <is>
          <t>Sample period: consolidated TB ties to entities.</t>
        </is>
      </c>
      <c r="P199" s="16" t="inlineStr">
        <is>
          <t>Consol TB</t>
        </is>
      </c>
      <c r="Q199" s="18" t="inlineStr">
        <is>
          <t>Implemented</t>
        </is>
      </c>
    </row>
    <row r="200">
      <c r="A200" s="11" t="inlineStr">
        <is>
          <t>CON-02</t>
        </is>
      </c>
      <c r="B200" s="12" t="inlineStr">
        <is>
          <t>Consolidation &amp; FX</t>
        </is>
      </c>
      <c r="C200" s="13" t="inlineStr">
        <is>
          <t>Application</t>
        </is>
      </c>
      <c r="D200" s="12" t="inlineStr">
        <is>
          <t>FX gain/loss</t>
        </is>
      </c>
      <c r="E200" s="12" t="inlineStr">
        <is>
          <t>FX exposures not revalued at period-end.</t>
        </is>
      </c>
      <c r="F200" s="12" t="inlineStr">
        <is>
          <t>Valuation</t>
        </is>
      </c>
      <c r="G200" s="12" t="inlineStr">
        <is>
          <t>FX revaluation at period-end rates; unrealized FX posted (acct 5400).</t>
        </is>
      </c>
      <c r="H200" s="13" t="inlineStr">
        <is>
          <t>Auto+Manual</t>
        </is>
      </c>
      <c r="I200" s="13" t="inlineStr">
        <is>
          <t>Period-end</t>
        </is>
      </c>
      <c r="J200" s="13" t="inlineStr">
        <is>
          <t>Period</t>
        </is>
      </c>
      <c r="K200" s="12" t="inlineStr">
        <is>
          <t>Controller</t>
        </is>
      </c>
      <c r="L200" s="13" t="inlineStr">
        <is>
          <t>P10</t>
        </is>
      </c>
      <c r="M200" s="12" t="inlineStr">
        <is>
          <t>fx.service.ts (revalue / unrealized report)</t>
        </is>
      </c>
      <c r="N200" s="12" t="inlineStr">
        <is>
          <t>Inspect reval logic + rates.</t>
        </is>
      </c>
      <c r="O200" s="12" t="inlineStr">
        <is>
          <t>Recompute reval on sample balances.</t>
        </is>
      </c>
      <c r="P200" s="12" t="inlineStr">
        <is>
          <t>FX reval JE</t>
        </is>
      </c>
      <c r="Q200" s="18" t="inlineStr">
        <is>
          <t>Implemented</t>
        </is>
      </c>
    </row>
    <row r="201">
      <c r="A201" s="15" t="inlineStr">
        <is>
          <t>CON-03</t>
        </is>
      </c>
      <c r="B201" s="16" t="inlineStr">
        <is>
          <t>Consolidation &amp; FX</t>
        </is>
      </c>
      <c r="C201" s="17" t="inlineStr">
        <is>
          <t>Application</t>
        </is>
      </c>
      <c r="D201" s="16" t="inlineStr">
        <is>
          <t>Consolidation</t>
        </is>
      </c>
      <c r="E201" s="16" t="inlineStr">
        <is>
          <t>Intercompany balances/transactions are not eliminated on consolidation, OR eliminations are mis-stated, so the consolidated group trial balance does not balance and group financials are overstated (IC double-counted).</t>
        </is>
      </c>
      <c r="F201" s="16" t="inlineStr">
        <is>
          <t>Accuracy/Completeness</t>
        </is>
      </c>
      <c r="G20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1" s="17" t="inlineStr">
        <is>
          <t>Prev</t>
        </is>
      </c>
      <c r="I201" s="17" t="inlineStr">
        <is>
          <t>Auto+Manual</t>
        </is>
      </c>
      <c r="J201" s="17" t="inlineStr">
        <is>
          <t>Period</t>
        </is>
      </c>
      <c r="K201" s="16" t="inlineStr">
        <is>
          <t>Group Controller</t>
        </is>
      </c>
      <c r="L201" s="17" t="inlineStr">
        <is>
          <t>P10</t>
        </is>
      </c>
      <c r="M20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1" s="16" t="inlineStr">
        <is>
          <t>Inspect the combine→eliminate→balance flow, the CONSOL_UNBALANCED guard, and the run→post approver≠runner check.</t>
        </is>
      </c>
      <c r="O201" s="16" t="inlineStr">
        <is>
          <t>Re-perform: run a group consolidation, confirm IC 1150/2150 eliminate and the consolidated TB balances; attempt self-post (SELF_POST); post as a different user (Posted); re-run the posted period (ALREADY_POSTED). Re-performed by the consolidation harness.</t>
        </is>
      </c>
      <c r="P201" s="16" t="inlineStr">
        <is>
          <t>Consolidated TB + elimination lines + post log</t>
        </is>
      </c>
      <c r="Q201" s="18" t="inlineStr">
        <is>
          <t>Implemented</t>
        </is>
      </c>
    </row>
    <row r="202">
      <c r="A202" s="11" t="inlineStr">
        <is>
          <t>CON-04</t>
        </is>
      </c>
      <c r="B202" s="12" t="inlineStr">
        <is>
          <t>Consolidation &amp; FX</t>
        </is>
      </c>
      <c r="C202" s="13" t="inlineStr">
        <is>
          <t>Application</t>
        </is>
      </c>
      <c r="D202" s="12" t="inlineStr">
        <is>
          <t>All (segment disclosure)</t>
        </is>
      </c>
      <c r="E202" s="12" t="inlineStr">
        <is>
          <t>Segment (branch/project/department) operating results are not reported, so IFRS 8 segment disclosure is incomplete or inaccurate and management/investors cannot see results by reportable segment.</t>
        </is>
      </c>
      <c r="F202" s="12" t="inlineStr">
        <is>
          <t>Presentation/Disclosure</t>
        </is>
      </c>
      <c r="G20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2" s="13" t="inlineStr">
        <is>
          <t>Det</t>
        </is>
      </c>
      <c r="I202" s="13" t="inlineStr">
        <is>
          <t>Auto+Manual</t>
        </is>
      </c>
      <c r="J202" s="13" t="inlineStr">
        <is>
          <t>Period</t>
        </is>
      </c>
      <c r="K202" s="12" t="inlineStr">
        <is>
          <t>Group Controller</t>
        </is>
      </c>
      <c r="L202" s="13" t="inlineStr">
        <is>
          <t>P10</t>
        </is>
      </c>
      <c r="M202" s="12" t="inlineStr">
        <is>
          <t>consolidation.service.ts defineSegment/listSegments/segmentReport; consolidation.controller.ts (segments, segment-report @exec); schema/consolidation.ts segment_definitions + migration 0170; cutover/consolidation.ts (ToE)</t>
        </is>
      </c>
      <c r="N202" s="12" t="inlineStr">
        <is>
          <t>Inspect the segment mapping + the dimension-grouped P&amp;L aggregation.</t>
        </is>
      </c>
      <c r="O202" s="12" t="inlineStr">
        <is>
          <t>Re-perform: define a segment over branches, run the segment report for a period, confirm revenue/expense/net tie to the underlying dimensioned postings. Re-performed by the consolidation harness.</t>
        </is>
      </c>
      <c r="P202" s="12" t="inlineStr">
        <is>
          <t>Segment P&amp;L report</t>
        </is>
      </c>
      <c r="Q202" s="18" t="inlineStr">
        <is>
          <t>Implemented</t>
        </is>
      </c>
    </row>
    <row r="203">
      <c r="A203" s="15" t="inlineStr">
        <is>
          <t>FX-04</t>
        </is>
      </c>
      <c r="B203" s="16" t="inlineStr">
        <is>
          <t>Consolidation &amp; FX</t>
        </is>
      </c>
      <c r="C203" s="17" t="inlineStr">
        <is>
          <t>Application</t>
        </is>
      </c>
      <c r="D203" s="16" t="inlineStr">
        <is>
          <t>FX gain/loss; Revenue; AR/AP</t>
        </is>
      </c>
      <c r="E203" s="16" t="inlineStr">
        <is>
          <t>A wrong manually-entered FX rate (fat-fingered, e.g. USD 36 keyed as 63) flows straight into a period-end revaluation JE and the unrealized-FX report with no independent review — mis-stating earnings/equity and FX-translated balances.</t>
        </is>
      </c>
      <c r="F203" s="16" t="inlineStr">
        <is>
          <t>Accuracy/Valuation</t>
        </is>
      </c>
      <c r="G20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3" s="17" t="inlineStr">
        <is>
          <t>Prev</t>
        </is>
      </c>
      <c r="I203" s="17" t="inlineStr">
        <is>
          <t>Automated</t>
        </is>
      </c>
      <c r="J203" s="17" t="inlineStr">
        <is>
          <t>Per rate</t>
        </is>
      </c>
      <c r="K203" s="16" t="inlineStr">
        <is>
          <t>Controller / Treasury</t>
        </is>
      </c>
      <c r="L203" s="17" t="inlineStr">
        <is>
          <t>P10</t>
        </is>
      </c>
      <c r="M20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3" s="16" t="inlineStr">
        <is>
          <t>Inspect the request→approve flow + the approver≠requester check + that revaluation/reporting resolve Approved rates only.</t>
        </is>
      </c>
      <c r="O203" s="16" t="inlineStr">
        <is>
          <t>Re-perform: enter a manual rate (PendingApproval), confirm revalue is blocked NO_RATE while pending, attempt self-approve (SOD_VIOLATION), approve as a different user, then revalue succeeds (re-performed by the fxreval harness).</t>
        </is>
      </c>
      <c r="P203" s="16" t="inlineStr">
        <is>
          <t>FX rate approval log + SoD test</t>
        </is>
      </c>
      <c r="Q203" s="18" t="inlineStr">
        <is>
          <t>Implemented</t>
        </is>
      </c>
    </row>
    <row r="204">
      <c r="A204" s="11" t="inlineStr">
        <is>
          <t>BUD-01</t>
        </is>
      </c>
      <c r="B204" s="12" t="inlineStr">
        <is>
          <t>Budgeting &amp; Planning</t>
        </is>
      </c>
      <c r="C204" s="13" t="inlineStr">
        <is>
          <t>Application</t>
        </is>
      </c>
      <c r="D204" s="12" t="inlineStr">
        <is>
          <t>Budget; All (variance reporting)</t>
        </is>
      </c>
      <c r="E20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4" s="12" t="inlineStr">
        <is>
          <t>Authorization/Accuracy</t>
        </is>
      </c>
      <c r="G20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4" s="13" t="inlineStr">
        <is>
          <t>Prev</t>
        </is>
      </c>
      <c r="I204" s="13" t="inlineStr">
        <is>
          <t>Automated</t>
        </is>
      </c>
      <c r="J204" s="13" t="inlineStr">
        <is>
          <t>Per budget</t>
        </is>
      </c>
      <c r="K204" s="12" t="inlineStr">
        <is>
          <t>Controller / FP&amp;A</t>
        </is>
      </c>
      <c r="L204" s="13" t="inlineStr">
        <is>
          <t>P10</t>
        </is>
      </c>
      <c r="M204" s="12" t="inlineStr">
        <is>
          <t>budget.service.ts upsertBudget(→PendingApproval)/approveBudget/rejectBudget/budgetVsActual(Approved only); budget.controller.ts (budgets/approve|reject|pending gated approvals/gl_close); schema/budgets.ts budgets.status + migration 0142; cutover/budget.ts (ToE)</t>
        </is>
      </c>
      <c r="N204" s="12" t="inlineStr">
        <is>
          <t>Inspect the request→approve flow + the approver≠requester check + that budget-vs-actual counts Approved budgets only.</t>
        </is>
      </c>
      <c r="O204" s="12" t="inlineStr">
        <is>
          <t>Re-perform: upsert a budget (PendingApproval, excluded from variance), attempt self-approve (SOD_VIOLATION), approve as a different user, confirm it then appears in budget-vs-actual (re-performed by the budget harness).</t>
        </is>
      </c>
      <c r="P204" s="12" t="inlineStr">
        <is>
          <t>Budget approval log + SoD test</t>
        </is>
      </c>
      <c r="Q204" s="18" t="inlineStr">
        <is>
          <t>Implemented</t>
        </is>
      </c>
    </row>
  </sheetData>
  <autoFilter ref="A1:Q2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COUNTIF(RCM!$Q$2:$Q$204,B5)</f>
        <v/>
      </c>
    </row>
    <row r="6">
      <c r="B6" s="27" t="inlineStr">
        <is>
          <t>Partial</t>
        </is>
      </c>
      <c r="C6" s="26">
        <f>COUNTIF(RCM!$Q$2:$Q$204,B6)</f>
        <v/>
      </c>
    </row>
    <row r="7">
      <c r="B7" s="28" t="inlineStr">
        <is>
          <t>Gap</t>
        </is>
      </c>
      <c r="C7" s="26">
        <f>COUNTIF(RCM!$Q$2:$Q$204,B7)</f>
        <v/>
      </c>
    </row>
    <row r="8">
      <c r="B8" s="29" t="inlineStr">
        <is>
          <t>Total</t>
        </is>
      </c>
      <c r="C8" s="29">
        <f>COUNTA(RCM!$A$2:$A$204)</f>
        <v/>
      </c>
    </row>
    <row r="10">
      <c r="B10" s="24" t="inlineStr">
        <is>
          <t>By Category</t>
        </is>
      </c>
    </row>
    <row r="11">
      <c r="B11" s="26" t="inlineStr">
        <is>
          <t>Entity</t>
        </is>
      </c>
      <c r="C11" s="26">
        <f>COUNTIF(RCM!$C$2:$C$204,B11)</f>
        <v/>
      </c>
    </row>
    <row r="12">
      <c r="B12" s="26" t="inlineStr">
        <is>
          <t>ITGC</t>
        </is>
      </c>
      <c r="C12" s="26">
        <f>COUNTIF(RCM!$C$2:$C$204,B12)</f>
        <v/>
      </c>
    </row>
    <row r="13">
      <c r="B13" s="26" t="inlineStr">
        <is>
          <t>Application</t>
        </is>
      </c>
      <c r="C13" s="26">
        <f>COUNTIF(RCM!$C$2:$C$204,B13)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2026-07-10T04:28:57Z</dcterms:created>
  <dcterms:modified xsi:type="dcterms:W3CDTF">2026-07-10T04:28:58Z</dcterms:modified>
</cp:coreProperties>
</file>