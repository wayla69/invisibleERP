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'RCM'!$A$1:$Q$228</definedName>
    <definedName name="_xlnm._FilterDatabase" localSheetId="2" hidden="1">'Gap Remediation'!$A$2:$H$5</definedName>
    <definedName name="_xlnm._FilterDatabase" localSheetId="5" hidden="1">'RCM1'!$A$1:$Q$228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HR-04</t>
        </is>
      </c>
      <c r="B228" s="12" t="inlineStr">
        <is>
          <t>Payroll</t>
        </is>
      </c>
      <c r="C228" s="13" t="inlineStr">
        <is>
          <t>Application</t>
        </is>
      </c>
      <c r="D228" s="12" t="inlineStr">
        <is>
          <t>Human Resources (headcount / labour cost); Payroll expense</t>
        </is>
      </c>
      <c r="E22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28" s="12" t="inlineStr">
        <is>
          <t>Authorization/Segregation of Duties</t>
        </is>
      </c>
      <c r="G22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28" s="13" t="inlineStr">
        <is>
          <t>Prev</t>
        </is>
      </c>
      <c r="I228" s="13" t="inlineStr">
        <is>
          <t>Automated</t>
        </is>
      </c>
      <c r="J228" s="13" t="inlineStr">
        <is>
          <t>Per requisition / per offer / per hire</t>
        </is>
      </c>
      <c r="K228" s="12" t="inlineStr">
        <is>
          <t>HR / People Ops; Hiring Manager; Exec</t>
        </is>
      </c>
      <c r="L228" s="13" t="inlineStr">
        <is>
          <t>P10</t>
        </is>
      </c>
      <c r="M22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28" s="12" t="inlineStr">
        <is>
          <t>Inspect the requisition approve maker-checker (approver != requested_by), the requisition-approved gate on the offer/hire stages, the offer authorization (approver != created_by) before convert, and the headcount-bound hire that mints the employee.</t>
        </is>
      </c>
      <c r="O22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28" s="12" t="inlineStr">
        <is>
          <t>Requisition + offer approval log (JOBREQ/OFFER) + the recruiting register (requisitions/candidates/applications/offers); SoD + headcount test</t>
        </is>
      </c>
      <c r="Q228" s="18" t="inlineStr">
        <is>
          <t>Implemented</t>
        </is>
      </c>
    </row>
  </sheetData>
  <autoFilter ref="A1:Q22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COUNTIF(RCM!$Q$2:$Q$228,B5)</f>
        <v/>
      </c>
    </row>
    <row r="6">
      <c r="B6" s="27" t="inlineStr">
        <is>
          <t>Partial</t>
        </is>
      </c>
      <c r="C6" s="26">
        <f>COUNTIF(RCM!$Q$2:$Q$228,B6)</f>
        <v/>
      </c>
    </row>
    <row r="7">
      <c r="B7" s="28" t="inlineStr">
        <is>
          <t>Gap</t>
        </is>
      </c>
      <c r="C7" s="26">
        <f>COUNTIF(RCM!$Q$2:$Q$228,B7)</f>
        <v/>
      </c>
    </row>
    <row r="8">
      <c r="B8" s="29" t="inlineStr">
        <is>
          <t>Total</t>
        </is>
      </c>
      <c r="C8" s="29">
        <f>COUNTA(RCM!$A$2:$A$228)</f>
        <v/>
      </c>
    </row>
    <row r="10">
      <c r="B10" s="24" t="inlineStr">
        <is>
          <t>By Category</t>
        </is>
      </c>
    </row>
    <row r="11">
      <c r="B11" s="26" t="inlineStr">
        <is>
          <t>Entity</t>
        </is>
      </c>
      <c r="C11" s="26">
        <f>COUNTIF(RCM!$C$2:$C$228,B11)</f>
        <v/>
      </c>
    </row>
    <row r="12">
      <c r="B12" s="26" t="inlineStr">
        <is>
          <t>ITGC</t>
        </is>
      </c>
      <c r="C12" s="26">
        <f>COUNTIF(RCM!$C$2:$C$228,B12)</f>
        <v/>
      </c>
    </row>
    <row r="13">
      <c r="B13" s="26" t="inlineStr">
        <is>
          <t>Application</t>
        </is>
      </c>
      <c r="C13" s="26">
        <f>COUNTIF(RCM!$C$2:$C$228,B13)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HR-04</t>
        </is>
      </c>
      <c r="B228" s="12" t="inlineStr">
        <is>
          <t>Payroll</t>
        </is>
      </c>
      <c r="C228" s="13" t="inlineStr">
        <is>
          <t>Application</t>
        </is>
      </c>
      <c r="D228" s="12" t="inlineStr">
        <is>
          <t>Human Resources (headcount / labour cost); Payroll expense</t>
        </is>
      </c>
      <c r="E22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28" s="12" t="inlineStr">
        <is>
          <t>Authorization/Segregation of Duties</t>
        </is>
      </c>
      <c r="G22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28" s="13" t="inlineStr">
        <is>
          <t>Prev</t>
        </is>
      </c>
      <c r="I228" s="13" t="inlineStr">
        <is>
          <t>Automated</t>
        </is>
      </c>
      <c r="J228" s="13" t="inlineStr">
        <is>
          <t>Per requisition / per offer / per hire</t>
        </is>
      </c>
      <c r="K228" s="12" t="inlineStr">
        <is>
          <t>HR / People Ops; Hiring Manager; Exec</t>
        </is>
      </c>
      <c r="L228" s="13" t="inlineStr">
        <is>
          <t>P10</t>
        </is>
      </c>
      <c r="M22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28" s="12" t="inlineStr">
        <is>
          <t>Inspect the requisition approve maker-checker (approver != requested_by), the requisition-approved gate on the offer/hire stages, the offer authorization (approver != created_by) before convert, and the headcount-bound hire that mints the employee.</t>
        </is>
      </c>
      <c r="O22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28" s="12" t="inlineStr">
        <is>
          <t>Requisition + offer approval log (JOBREQ/OFFER) + the recruiting register (requisitions/candidates/applications/offers); SoD + headcount test</t>
        </is>
      </c>
      <c r="Q228" s="18" t="inlineStr">
        <is>
          <t>Implemented</t>
        </is>
      </c>
    </row>
  </sheetData>
  <autoFilter ref="A1:Q22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COUNTIF(RCM!$Q$2:$Q$228,B5)</f>
        <v/>
      </c>
    </row>
    <row r="6">
      <c r="B6" s="27" t="inlineStr">
        <is>
          <t>Partial</t>
        </is>
      </c>
      <c r="C6" s="26">
        <f>COUNTIF(RCM!$Q$2:$Q$228,B6)</f>
        <v/>
      </c>
    </row>
    <row r="7">
      <c r="B7" s="28" t="inlineStr">
        <is>
          <t>Gap</t>
        </is>
      </c>
      <c r="C7" s="26">
        <f>COUNTIF(RCM!$Q$2:$Q$228,B7)</f>
        <v/>
      </c>
    </row>
    <row r="8">
      <c r="B8" s="29" t="inlineStr">
        <is>
          <t>Total</t>
        </is>
      </c>
      <c r="C8" s="29">
        <f>COUNTA(RCM!$A$2:$A$228)</f>
        <v/>
      </c>
    </row>
    <row r="10">
      <c r="B10" s="24" t="inlineStr">
        <is>
          <t>By Category</t>
        </is>
      </c>
    </row>
    <row r="11">
      <c r="B11" s="26" t="inlineStr">
        <is>
          <t>Entity</t>
        </is>
      </c>
      <c r="C11" s="26">
        <f>COUNTIF(RCM!$C$2:$C$228,B11)</f>
        <v/>
      </c>
    </row>
    <row r="12">
      <c r="B12" s="26" t="inlineStr">
        <is>
          <t>ITGC</t>
        </is>
      </c>
      <c r="C12" s="26">
        <f>COUNTIF(RCM!$C$2:$C$228,B12)</f>
        <v/>
      </c>
    </row>
    <row r="13">
      <c r="B13" s="26" t="inlineStr">
        <is>
          <t>Application</t>
        </is>
      </c>
      <c r="C13" s="26">
        <f>COUNTIF(RCM!$C$2:$C$228,B13)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2026-07-11T04:08:19Z</dcterms:created>
  <dcterms:modified xsi:type="dcterms:W3CDTF">2026-07-11T04:08:20Z</dcterms:modified>
</cp:coreProperties>
</file>