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'RCM'!$A$1:$Q$208</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EXP-13</t>
        </is>
      </c>
      <c r="B99" s="16" t="inlineStr">
        <is>
          <t>Expenditure</t>
        </is>
      </c>
      <c r="C99" s="17" t="inlineStr">
        <is>
          <t>Application</t>
        </is>
      </c>
      <c r="D99" s="16" t="inlineStr">
        <is>
          <t>Accounts Payable; Cash</t>
        </is>
      </c>
      <c r="E99" s="16" t="inlineStr">
        <is>
          <t>Combined vendor payment (paying many bills at once) settles a bill twice, over its balance, or without the same independent approval that a single payment requires — or one person both schedules and releases the whole run.</t>
        </is>
      </c>
      <c r="F99" s="16" t="inlineStr">
        <is>
          <t>Authorization/Accuracy</t>
        </is>
      </c>
      <c r="G99" s="16" t="inlineStr">
        <is>
          <t>AP payment RUN — a maker ('creditors') selects several due bills into ONE run (each line still passes the 3-way-match gate, the outstanding-balance over-pay guard and any withholding tax exactly as a single payment does), and a DIFFERENT user (approvals/gl_close) approves or rejects the WHOLE run; every bill's paid_amount and its cash-disbursement GL move only on run approval. The run is a run_no grouping over the per-bill ap_payments rows, so it inherits EXP-06's controls per line and adds no way to bypass them (duplicate bill in a run and self-approval are refused). A worksheet proposal lists due bills net of amounts already awaiting approval so a bill can't be double-scheduled.</t>
        </is>
      </c>
      <c r="H99" s="17" t="inlineStr">
        <is>
          <t>Prev</t>
        </is>
      </c>
      <c r="I99" s="17" t="inlineStr">
        <is>
          <t>Auto+Manual</t>
        </is>
      </c>
      <c r="J99" s="17" t="inlineStr">
        <is>
          <t>Per run</t>
        </is>
      </c>
      <c r="K99" s="16" t="inlineStr">
        <is>
          <t>AP / Controller</t>
        </is>
      </c>
      <c r="L99" s="17" t="inlineStr">
        <is>
          <t>P10</t>
        </is>
      </c>
      <c r="M99" s="16" t="inlineStr">
        <is>
          <t>finance.service.ts (proposeApPaymentRun / createApPaymentRun loops requestApPayment / approveApPaymentRun loops approveApPayment with requester≠approver / rejectApPaymentRun); finance.controller.ts (/ap/payment-runs; creditors creates, approvals|gl_close approves); schema/finance.ts (ap_payments.run_no) + migration 0296; web /finance payment-run worksheet + /disbursements run approval; cutover/basics.ts (ToE)</t>
        </is>
      </c>
      <c r="N99" s="16" t="inlineStr">
        <is>
          <t>Inspect run creation reuse of the single-payment controls + the run-level SoD guard.</t>
        </is>
      </c>
      <c r="O99" s="16" t="inlineStr">
        <is>
          <t>Seed several bills; create a run over them; run stays PendingApproval with no cash/GL until approval; maker cannot self-approve the run → 403 SOD_VIOLATION; an independent checker approves and all bills settle in one action (re-performed by the harness).</t>
        </is>
      </c>
      <c r="P99" s="16" t="inlineStr">
        <is>
          <t>AP payment-run register; disbursement run approvals</t>
        </is>
      </c>
      <c r="Q99" s="18" t="inlineStr">
        <is>
          <t>Implemented</t>
        </is>
      </c>
    </row>
    <row r="100">
      <c r="A100" s="11" t="inlineStr">
        <is>
          <t>FA-06</t>
        </is>
      </c>
      <c r="B100" s="12" t="inlineStr">
        <is>
          <t>Fixed Assets</t>
        </is>
      </c>
      <c r="C100" s="13" t="inlineStr">
        <is>
          <t>Application</t>
        </is>
      </c>
      <c r="D100" s="12" t="inlineStr">
        <is>
          <t>Property, Plant &amp; Equipment</t>
        </is>
      </c>
      <c r="E100" s="12" t="inlineStr">
        <is>
          <t>Equipment not maintained; maintenance uncontrolled; preventive maintenance missed; maintenance cost mis-stated or not tracked per asset.</t>
        </is>
      </c>
      <c r="F100" s="12" t="inlineStr">
        <is>
          <t>Existence/Valuation</t>
        </is>
      </c>
      <c r="G10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0" s="13" t="inlineStr">
        <is>
          <t>Det</t>
        </is>
      </c>
      <c r="I100" s="13" t="inlineStr">
        <is>
          <t>Automated</t>
        </is>
      </c>
      <c r="J100" s="13" t="inlineStr">
        <is>
          <t>Per WO / per sweep</t>
        </is>
      </c>
      <c r="K100" s="12" t="inlineStr">
        <is>
          <t>Maintenance / FaAccountant</t>
        </is>
      </c>
      <c r="L100" s="13" t="inlineStr">
        <is>
          <t>P13/P16</t>
        </is>
      </c>
      <c r="M100" s="12" t="inlineStr">
        <is>
          <t>eam.service.ts (work orders, PM schedules, runPmDue, meters, WO cost lines, reliability); eam.controller.ts; bi.service.ts (eam_pm_generate); cutover/basics.ts (ToE)</t>
        </is>
      </c>
      <c r="N100" s="12" t="inlineStr">
        <is>
          <t>Inspect WO lifecycle guard + PM due logic; inspect cost-line roll-up into actual cost and reliability KPI computation.</t>
        </is>
      </c>
      <c r="O100" s="12" t="inlineStr">
        <is>
          <t>Raise/complete a WO; PM sweep raises due preventive WOs (time + meter) and is idempotent; cost lines roll up to actual cost and drive the AP posting; reliability KPIs computed (re-performed by the harness).</t>
        </is>
      </c>
      <c r="P100" s="12" t="inlineStr">
        <is>
          <t>Work-order log; PM schedule + sweep run log; WO cost lines; reliability KPI report</t>
        </is>
      </c>
      <c r="Q100" s="18" t="inlineStr">
        <is>
          <t>Implemented</t>
        </is>
      </c>
    </row>
    <row r="101">
      <c r="A101" s="15" t="inlineStr">
        <is>
          <t>INV-01</t>
        </is>
      </c>
      <c r="B101" s="16" t="inlineStr">
        <is>
          <t>Inventory &amp; COGS</t>
        </is>
      </c>
      <c r="C101" s="17" t="inlineStr">
        <is>
          <t>Application</t>
        </is>
      </c>
      <c r="D101" s="16" t="inlineStr">
        <is>
          <t>Inventory; COGS</t>
        </is>
      </c>
      <c r="E101" s="16" t="inlineStr">
        <is>
          <t>Two terminals sell last unit → negative/oversold stock.</t>
        </is>
      </c>
      <c r="F101" s="16" t="inlineStr">
        <is>
          <t>Existence/Valuation</t>
        </is>
      </c>
      <c r="G101" s="16" t="inlineStr">
        <is>
          <t>Bin-stock decrement under FOR UPDATE inside a transaction — concurrent picks serialize (no oversell).</t>
        </is>
      </c>
      <c r="H101" s="17" t="inlineStr">
        <is>
          <t>Prev</t>
        </is>
      </c>
      <c r="I101" s="17" t="inlineStr">
        <is>
          <t>Automated</t>
        </is>
      </c>
      <c r="J101" s="17" t="inlineStr">
        <is>
          <t>Per txn</t>
        </is>
      </c>
      <c r="K101" s="16" t="inlineStr">
        <is>
          <t>Eng Lead / Warehouse</t>
        </is>
      </c>
      <c r="L101" s="17" t="inlineStr">
        <is>
          <t>P10</t>
        </is>
      </c>
      <c r="M101" s="16" t="inlineStr">
        <is>
          <t>wms.service.ts (pick)</t>
        </is>
      </c>
      <c r="N101" s="16" t="inlineStr">
        <is>
          <t>Inspect lock + sufficiency check in tx.</t>
        </is>
      </c>
      <c r="O101" s="16" t="inlineStr">
        <is>
          <t>Concurrent last-unit test → one PICK_SHORT.</t>
        </is>
      </c>
      <c r="P101" s="16" t="inlineStr">
        <is>
          <t>Concurrency test</t>
        </is>
      </c>
      <c r="Q101" s="18" t="inlineStr">
        <is>
          <t>Implemented</t>
        </is>
      </c>
    </row>
    <row r="102">
      <c r="A102" s="11" t="inlineStr">
        <is>
          <t>INV-02</t>
        </is>
      </c>
      <c r="B102" s="12" t="inlineStr">
        <is>
          <t>Inventory &amp; COGS</t>
        </is>
      </c>
      <c r="C102" s="13" t="inlineStr">
        <is>
          <t>Application</t>
        </is>
      </c>
      <c r="D102" s="12" t="inlineStr">
        <is>
          <t>Inventory</t>
        </is>
      </c>
      <c r="E102" s="12" t="inlineStr">
        <is>
          <t>Stock movements not recorded (completeness of perpetual stock).</t>
        </is>
      </c>
      <c r="F102" s="12" t="inlineStr">
        <is>
          <t>Completeness</t>
        </is>
      </c>
      <c r="G102" s="12" t="inlineStr">
        <is>
          <t>Perpetual stock-movement + lot ledger logging on every issue/receipt/return.</t>
        </is>
      </c>
      <c r="H102" s="13" t="inlineStr">
        <is>
          <t>Det</t>
        </is>
      </c>
      <c r="I102" s="13" t="inlineStr">
        <is>
          <t>Automated</t>
        </is>
      </c>
      <c r="J102" s="13" t="inlineStr">
        <is>
          <t>Per txn</t>
        </is>
      </c>
      <c r="K102" s="12" t="inlineStr">
        <is>
          <t>Warehouse</t>
        </is>
      </c>
      <c r="L102" s="13" t="inlineStr">
        <is>
          <t>P13</t>
        </is>
      </c>
      <c r="M102" s="12" t="inlineStr">
        <is>
          <t>stock-ops; custStockLog; lotLedger</t>
        </is>
      </c>
      <c r="N102" s="12" t="inlineStr">
        <is>
          <t>Inspect movement logging.</t>
        </is>
      </c>
      <c r="O102" s="12" t="inlineStr">
        <is>
          <t>Tie sample movements to balances.</t>
        </is>
      </c>
      <c r="P102" s="12" t="inlineStr">
        <is>
          <t>Stock ledger</t>
        </is>
      </c>
      <c r="Q102" s="18" t="inlineStr">
        <is>
          <t>Implemented</t>
        </is>
      </c>
    </row>
    <row r="103">
      <c r="A103" s="15" t="inlineStr">
        <is>
          <t>INV-03</t>
        </is>
      </c>
      <c r="B103" s="16" t="inlineStr">
        <is>
          <t>Inventory &amp; COGS</t>
        </is>
      </c>
      <c r="C103" s="17" t="inlineStr">
        <is>
          <t>Application</t>
        </is>
      </c>
      <c r="D103" s="16" t="inlineStr">
        <is>
          <t>COGS</t>
        </is>
      </c>
      <c r="E103" s="16" t="inlineStr">
        <is>
          <t>COGS misstated; consumption not costed.</t>
        </is>
      </c>
      <c r="F103" s="16" t="inlineStr">
        <is>
          <t>Accuracy</t>
        </is>
      </c>
      <c r="G103" s="16" t="inlineStr">
        <is>
          <t>Inventory costing → COGS posting on consumption; recipe/BOM deduction + reversal on return.</t>
        </is>
      </c>
      <c r="H103" s="17" t="inlineStr">
        <is>
          <t>Auto</t>
        </is>
      </c>
      <c r="I103" s="17" t="inlineStr">
        <is>
          <t>Automated</t>
        </is>
      </c>
      <c r="J103" s="17" t="inlineStr">
        <is>
          <t>Per txn</t>
        </is>
      </c>
      <c r="K103" s="16" t="inlineStr">
        <is>
          <t>Controller</t>
        </is>
      </c>
      <c r="L103" s="17" t="inlineStr">
        <is>
          <t>P10</t>
        </is>
      </c>
      <c r="M103" s="16" t="inlineStr">
        <is>
          <t>costing; menu/recipe.service.ts</t>
        </is>
      </c>
      <c r="N103" s="16" t="inlineStr">
        <is>
          <t>Walkthrough consumption → COGS JE.</t>
        </is>
      </c>
      <c r="O103" s="16" t="inlineStr">
        <is>
          <t>Tie sample consumption to COGS.</t>
        </is>
      </c>
      <c r="P103" s="16" t="inlineStr">
        <is>
          <t>COGS tie-out</t>
        </is>
      </c>
      <c r="Q103" s="18" t="inlineStr">
        <is>
          <t>Implemented</t>
        </is>
      </c>
    </row>
    <row r="104">
      <c r="A104" s="11" t="inlineStr">
        <is>
          <t>INV-04</t>
        </is>
      </c>
      <c r="B104" s="12" t="inlineStr">
        <is>
          <t>Inventory &amp; COGS</t>
        </is>
      </c>
      <c r="C104" s="13" t="inlineStr">
        <is>
          <t>Application</t>
        </is>
      </c>
      <c r="D104" s="12" t="inlineStr">
        <is>
          <t>Inventory</t>
        </is>
      </c>
      <c r="E104" s="12" t="inlineStr">
        <is>
          <t>Book vs physical stock diverges; counts adjusted without independent review.</t>
        </is>
      </c>
      <c r="F104" s="12" t="inlineStr">
        <is>
          <t>Existence</t>
        </is>
      </c>
      <c r="G10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4" s="13" t="inlineStr">
        <is>
          <t>Det</t>
        </is>
      </c>
      <c r="I104" s="13" t="inlineStr">
        <is>
          <t>Auto+Manual</t>
        </is>
      </c>
      <c r="J104" s="13" t="inlineStr">
        <is>
          <t>Periodic</t>
        </is>
      </c>
      <c r="K104" s="12" t="inlineStr">
        <is>
          <t>Warehouse Mgr</t>
        </is>
      </c>
      <c r="L104" s="13" t="inlineStr">
        <is>
          <t>P16</t>
        </is>
      </c>
      <c r="M104" s="12" t="inlineStr">
        <is>
          <t>stock-ops/stock-ops.service.ts postStocktake (counter ≠ poster gate, SOD_SELF_APPROVAL); cutover/stock-ops.ts (ToE)</t>
        </is>
      </c>
      <c r="N104" s="12" t="inlineStr">
        <is>
          <t>Inspect the count → variance → independent-review/post flow.</t>
        </is>
      </c>
      <c r="O104" s="12" t="inlineStr">
        <is>
          <t>Re-perform: the counter posting their own stocktake is blocked (403 SOD_SELF_APPROVAL); an independent reviewer posts the variance.</t>
        </is>
      </c>
      <c r="P104" s="12" t="inlineStr">
        <is>
          <t>Variance review maker-checker ToE</t>
        </is>
      </c>
      <c r="Q104" s="18" t="inlineStr">
        <is>
          <t>Implemented</t>
        </is>
      </c>
    </row>
    <row r="105">
      <c r="A105" s="15" t="inlineStr">
        <is>
          <t>INV-05</t>
        </is>
      </c>
      <c r="B105" s="16" t="inlineStr">
        <is>
          <t>Inventory &amp; COGS</t>
        </is>
      </c>
      <c r="C105" s="17" t="inlineStr">
        <is>
          <t>Application</t>
        </is>
      </c>
      <c r="D105" s="16" t="inlineStr">
        <is>
          <t>Inventory</t>
        </is>
      </c>
      <c r="E105" s="16" t="inlineStr">
        <is>
          <t>A branch stock-out is fulfilled by BUYING new stock while a sibling branch holds idle surplus (capital tied up / over-ordering); or stock is moved between branches without attribution or segregation of duties.</t>
        </is>
      </c>
      <c r="F105" s="16" t="inlineStr">
        <is>
          <t>Existence/Accuracy/Authorization</t>
        </is>
      </c>
      <c r="G10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5" s="17" t="inlineStr">
        <is>
          <t>Prev/Det</t>
        </is>
      </c>
      <c r="I105" s="17" t="inlineStr">
        <is>
          <t>Auto+Manual</t>
        </is>
      </c>
      <c r="J105" s="17" t="inlineStr">
        <is>
          <t>Per replenishment run</t>
        </is>
      </c>
      <c r="K105" s="16" t="inlineStr">
        <is>
          <t>Planner / Warehouse / Procurement</t>
        </is>
      </c>
      <c r="L105" s="17" t="inlineStr">
        <is>
          <t>P10/P13</t>
        </is>
      </c>
      <c r="M105" s="16" t="inlineStr">
        <is>
          <t>wms/replenishment.service.ts (suggest transfer/buy split, autoTransfer, autoPr); wms.controller.ts (auto-transfer @wh_custody vs auto-pr @procurement); schema branch_stock + item_supplier + migration 0130; cutover/wms.ts (ToE)</t>
        </is>
      </c>
      <c r="N105" s="16" t="inlineStr">
        <is>
          <t>Inspect transfer-before-buy allocation, branch attribution, and leg segregation.</t>
        </is>
      </c>
      <c r="O10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5" s="16" t="inlineStr">
        <is>
          <t>Branch replenishment run log; inter-branch transfer log; residual PR</t>
        </is>
      </c>
      <c r="Q105" s="18" t="inlineStr">
        <is>
          <t>Implemented</t>
        </is>
      </c>
    </row>
    <row r="106">
      <c r="A106" s="11" t="inlineStr">
        <is>
          <t>INV-06</t>
        </is>
      </c>
      <c r="B106" s="12" t="inlineStr">
        <is>
          <t>Inventory &amp; COGS</t>
        </is>
      </c>
      <c r="C106" s="13" t="inlineStr">
        <is>
          <t>Application</t>
        </is>
      </c>
      <c r="D106" s="12" t="inlineStr">
        <is>
          <t>Inventory; COGS</t>
        </is>
      </c>
      <c r="E106" s="12" t="inlineStr">
        <is>
          <t>Perpetual stock VALUE drifts from the GL inventory control account; receipts/issues/adjustments uncosted or not posted to GL → inventory &amp; COGS misstated.</t>
        </is>
      </c>
      <c r="F106" s="12" t="inlineStr">
        <is>
          <t>Existence/Valuation/Completeness</t>
        </is>
      </c>
      <c r="G10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6" s="13" t="inlineStr">
        <is>
          <t>Prev+Det</t>
        </is>
      </c>
      <c r="I106" s="13" t="inlineStr">
        <is>
          <t>Automated</t>
        </is>
      </c>
      <c r="J106" s="13" t="inlineStr">
        <is>
          <t>Per txn</t>
        </is>
      </c>
      <c r="K106" s="12" t="inlineStr">
        <is>
          <t>Controller / Warehouse</t>
        </is>
      </c>
      <c r="L106" s="13" t="inlineStr">
        <is>
          <t>P10</t>
        </is>
      </c>
      <c r="M106" s="12" t="inlineStr">
        <is>
          <t>inventory-ledger.service.ts; stock-ops.service.ts (bridge); 0131 inv_moves/inv_balances; 0132 inv_cost_layers (FIFO/FEFO); ledger.postEntry</t>
        </is>
      </c>
      <c r="N106" s="12" t="inlineStr">
        <is>
          <t>Walkthrough receipt→issue→adjust + a stock-ops issue/transfer/stocktake on a tracked item, in both moving-avg and FEFO: inspect cost recompute / layer consumption, the balanced JE, and reconcile().</t>
        </is>
      </c>
      <c r="O106" s="12" t="inlineStr">
        <is>
          <t>Sample receipt/issue/adjust + stock-ops moves → sub-ledger value ties to GL 1200 (reconciled); FEFO COGS = actual layer cost; over-issue blocked; duplicate ref deduped.</t>
        </is>
      </c>
      <c r="P106" s="12" t="inlineStr">
        <is>
          <t>Reconciliation report; layers report; basics + compliance + stock-ops harness</t>
        </is>
      </c>
      <c r="Q106" s="18" t="inlineStr">
        <is>
          <t>Implemented</t>
        </is>
      </c>
    </row>
    <row r="107">
      <c r="A107" s="15" t="inlineStr">
        <is>
          <t>INV-07</t>
        </is>
      </c>
      <c r="B107" s="16" t="inlineStr">
        <is>
          <t>Inventory &amp; COGS</t>
        </is>
      </c>
      <c r="C107" s="17" t="inlineStr">
        <is>
          <t>Application</t>
        </is>
      </c>
      <c r="D107" s="16" t="inlineStr">
        <is>
          <t>Inventory; COGS</t>
        </is>
      </c>
      <c r="E107" s="16" t="inlineStr">
        <is>
          <t>Stock written off the books without independent review — one person posts a shrinkage/spoilage write-off to conceal a shortage they caused (theft of inventory).</t>
        </is>
      </c>
      <c r="F107" s="16" t="inlineStr">
        <is>
          <t>Authorization</t>
        </is>
      </c>
      <c r="G10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7" s="17" t="inlineStr">
        <is>
          <t>Prev</t>
        </is>
      </c>
      <c r="I107" s="17" t="inlineStr">
        <is>
          <t>Automated</t>
        </is>
      </c>
      <c r="J107" s="17" t="inlineStr">
        <is>
          <t>Per write-off</t>
        </is>
      </c>
      <c r="K107" s="16" t="inlineStr">
        <is>
          <t>Warehouse / Controller</t>
        </is>
      </c>
      <c r="L107" s="17" t="inlineStr">
        <is>
          <t>P10</t>
        </is>
      </c>
      <c r="M107" s="16" t="inlineStr">
        <is>
          <t>inventory-ledger.service.ts requestWriteOff/approveWriteOff/rejectWriteOff/listWriteOffs; inventory-ledger.controller.ts (writeoffs/:id/approve|reject, wh_adjust); schema/inventory.ts inv_writeoff_requests + migration 0136; cutover/basics.ts + compliance.ts (ToE)</t>
        </is>
      </c>
      <c r="N107" s="16" t="inlineStr">
        <is>
          <t>Inspect the request→approve flow + the approver≠requester check + that the request posts nothing until approval.</t>
        </is>
      </c>
      <c r="O107" s="16" t="inlineStr">
        <is>
          <t>Re-perform: request a write-off (on-hand unchanged), attempt self-approve (SOD_VIOLATION), approve as a different user; confirm the variance JE + balance move only after approval (re-performed by the harnesses).</t>
        </is>
      </c>
      <c r="P107" s="16" t="inlineStr">
        <is>
          <t>Write-off request register + SoD test</t>
        </is>
      </c>
      <c r="Q107" s="18" t="inlineStr">
        <is>
          <t>Implemented</t>
        </is>
      </c>
    </row>
    <row r="108">
      <c r="A108" s="11" t="inlineStr">
        <is>
          <t>INV-08</t>
        </is>
      </c>
      <c r="B108" s="12" t="inlineStr">
        <is>
          <t>Inventory &amp; COGS</t>
        </is>
      </c>
      <c r="C108" s="13" t="inlineStr">
        <is>
          <t>Application</t>
        </is>
      </c>
      <c r="D108" s="12" t="inlineStr">
        <is>
          <t>Inventory</t>
        </is>
      </c>
      <c r="E108" s="12" t="inlineStr">
        <is>
          <t>Stock mis-located or stored beyond a bin's physical capacity — overflow held in an unrecorded location, breaking the perpetual location records and concealing where inventory physically is (loss / shrink risk; inaccurate pick paths).</t>
        </is>
      </c>
      <c r="F108" s="12" t="inlineStr">
        <is>
          <t>Completeness; Accuracy</t>
        </is>
      </c>
      <c r="G10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8" s="13" t="inlineStr">
        <is>
          <t>Prev</t>
        </is>
      </c>
      <c r="I108" s="13" t="inlineStr">
        <is>
          <t>Automated</t>
        </is>
      </c>
      <c r="J108" s="13" t="inlineStr">
        <is>
          <t>Per putaway</t>
        </is>
      </c>
      <c r="K108" s="12" t="inlineStr">
        <is>
          <t>Warehouse</t>
        </is>
      </c>
      <c r="L108" s="13" t="inlineStr">
        <is>
          <t>P10</t>
        </is>
      </c>
      <c r="M108" s="12" t="inlineStr">
        <is>
          <t>wms.service.ts putaway (capacity guard) / warehouseLayout / locateItem / setBinLayout; wms.controller.ts (layout, locate, bins/:code/layout); schema/wms.ts bins.pos_*/dim_*/capacity + migration 0138; cutover/wms.ts (ToE)</t>
        </is>
      </c>
      <c r="N108" s="12" t="inlineStr">
        <is>
          <t>Inspect the putaway capacity guard + the layout utilisation/locate read model.</t>
        </is>
      </c>
      <c r="O108" s="12" t="inlineStr">
        <is>
          <t>Re-perform: set a bin capacity, putaway within capacity (accepted), putaway beyond it (422 BIN_CAPACITY_EXCEEDED, stock unchanged); confirm layout reports utilisation and locate finds the item (re-performed by the wms harness).</t>
        </is>
      </c>
      <c r="P108" s="12" t="inlineStr">
        <is>
          <t>Bin capacity test + layout/locate read</t>
        </is>
      </c>
      <c r="Q108" s="18" t="inlineStr">
        <is>
          <t>Implemented</t>
        </is>
      </c>
    </row>
    <row r="109">
      <c r="A109" s="15" t="inlineStr">
        <is>
          <t>INV-09</t>
        </is>
      </c>
      <c r="B109" s="16" t="inlineStr">
        <is>
          <t>Inventory &amp; COGS</t>
        </is>
      </c>
      <c r="C109" s="17" t="inlineStr">
        <is>
          <t>Application</t>
        </is>
      </c>
      <c r="D109" s="16" t="inlineStr">
        <is>
          <t>Inventory</t>
        </is>
      </c>
      <c r="E109" s="16" t="inlineStr">
        <is>
          <t>Available-to-promise mis-stated by leaked stock reservations — allocations that are never released or consumed accumulate so ATP drifts permanently low (false stock-outs), or a reservation oversells stock it never had.</t>
        </is>
      </c>
      <c r="F109" s="16" t="inlineStr">
        <is>
          <t>Accuracy; Completeness</t>
        </is>
      </c>
      <c r="G10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9" s="17" t="inlineStr">
        <is>
          <t>Prev</t>
        </is>
      </c>
      <c r="I109" s="17" t="inlineStr">
        <is>
          <t>Automated</t>
        </is>
      </c>
      <c r="J109" s="17" t="inlineStr">
        <is>
          <t>Per reservation</t>
        </is>
      </c>
      <c r="K109" s="16" t="inlineStr">
        <is>
          <t>Planner / Warehouse</t>
        </is>
      </c>
      <c r="L109" s="17" t="inlineStr">
        <is>
          <t>P10</t>
        </is>
      </c>
      <c r="M10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9" s="16" t="inlineStr">
        <is>
          <t>Inspect the reservation lifecycle + that ATP nets only Open + the idempotency/over-reserve guards.</t>
        </is>
      </c>
      <c r="O109" s="16" t="inlineStr">
        <is>
          <t>Re-perform: allocate (ATP drops), re-allocate same ref (idempotent -- no leak), over-reserve (422 INSUFFICIENT_ATP), release (frees ATP), fulfill + on-hand drop (ATP-neutral) (re-performed by the costing harness).</t>
        </is>
      </c>
      <c r="P109" s="16" t="inlineStr">
        <is>
          <t>Reservation register + ATP drift test</t>
        </is>
      </c>
      <c r="Q109" s="18" t="inlineStr">
        <is>
          <t>Implemented</t>
        </is>
      </c>
    </row>
    <row r="110">
      <c r="A110" s="11" t="inlineStr">
        <is>
          <t>INV-10</t>
        </is>
      </c>
      <c r="B110" s="12" t="inlineStr">
        <is>
          <t>Inventory &amp; COGS</t>
        </is>
      </c>
      <c r="C110" s="13" t="inlineStr">
        <is>
          <t>Application</t>
        </is>
      </c>
      <c r="D110" s="12" t="inlineStr">
        <is>
          <t>Inventory; Waste/scrap loss</t>
        </is>
      </c>
      <c r="E110" s="12" t="inlineStr">
        <is>
          <t>Kitchen/ingredient waste is invisible — spoilage/over-production is not captured, so food-cost loss can't be measured or controlled; OR a perpetual-tracked item is written off as 'waste' to bypass the independent write-off approval (INV-07).</t>
        </is>
      </c>
      <c r="F110" s="12" t="inlineStr">
        <is>
          <t>Completeness/Accuracy/Authorization</t>
        </is>
      </c>
      <c r="G11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0" s="13" t="inlineStr">
        <is>
          <t>Det/Prev</t>
        </is>
      </c>
      <c r="I110" s="13" t="inlineStr">
        <is>
          <t>Automated</t>
        </is>
      </c>
      <c r="J110" s="13" t="inlineStr">
        <is>
          <t>Per waste event</t>
        </is>
      </c>
      <c r="K110" s="12" t="inlineStr">
        <is>
          <t>Kitchen / Warehouse / Controller</t>
        </is>
      </c>
      <c r="L110" s="13" t="inlineStr">
        <is>
          <t>P10/P13</t>
        </is>
      </c>
      <c r="M110" s="12" t="inlineStr">
        <is>
          <t>inventory/waste.service.ts logWaste (perpetual-item guard, GL 5810/1200, stock decrement) + list (by-reason analytics); waste.controller.ts (/api/inventory/waste, warehouse/pos/order_mgt); schema/portal.ts waste_log + migration 0149; cutover/waste.ts (ToE)</t>
        </is>
      </c>
      <c r="N110" s="12" t="inlineStr">
        <is>
          <t>Inspect the reason-coded capture + the 5810/1200 GL on costed waste + the perpetual-item USE_WRITEOFF boundary + the by-reason analytics.</t>
        </is>
      </c>
      <c r="O110" s="12" t="inlineStr">
        <is>
          <t>Re-perform: costed waste posts Dr 5810 / Cr 1200 + decrements stock; uncosted waste logs with no GL; a perpetual-tracked item is rejected (USE_WRITEOFF); by-reason totals reconcile; trial balance balanced (re-performed by the waste harness).</t>
        </is>
      </c>
      <c r="P110" s="12" t="inlineStr">
        <is>
          <t>Waste log + by-reason food-cost analytics</t>
        </is>
      </c>
      <c r="Q110" s="18" t="inlineStr">
        <is>
          <t>Implemented</t>
        </is>
      </c>
    </row>
    <row r="111">
      <c r="A111" s="15" t="inlineStr">
        <is>
          <t>INV-11</t>
        </is>
      </c>
      <c r="B111" s="16" t="inlineStr">
        <is>
          <t>Inventory &amp; COGS</t>
        </is>
      </c>
      <c r="C111" s="17" t="inlineStr">
        <is>
          <t>Application</t>
        </is>
      </c>
      <c r="D111" s="16" t="inlineStr">
        <is>
          <t>Inventory; COGS</t>
        </is>
      </c>
      <c r="E111" s="16" t="inlineStr">
        <is>
          <t>Theoretical-vs-actual food-cost variance is a single undifferentiated number — a manager sees that COGS ran over the recipe but not WHY or WHERE, so the over-usage can't be acted on (over-portioning vs spoilage vs theft go unaddressed and recur).</t>
        </is>
      </c>
      <c r="F111" s="16" t="inlineStr">
        <is>
          <t>Accuracy/Completeness</t>
        </is>
      </c>
      <c r="G11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1" s="17" t="inlineStr">
        <is>
          <t>Det</t>
        </is>
      </c>
      <c r="I111" s="17" t="inlineStr">
        <is>
          <t>Auto+Manual</t>
        </is>
      </c>
      <c r="J111" s="17" t="inlineStr">
        <is>
          <t>Per EOD count / weekly review</t>
        </is>
      </c>
      <c r="K111" s="16" t="inlineStr">
        <is>
          <t>F&amp;B Controller / Kitchen Mgr</t>
        </is>
      </c>
      <c r="L111" s="17" t="inlineStr">
        <is>
          <t>P10/P13</t>
        </is>
      </c>
      <c r="M11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1" s="16" t="inlineStr">
        <is>
          <t>Inspect the reason_code enum capture, the valued by_reason/by_station roll-ups, the anomaly bands, and tenant isolation.</t>
        </is>
      </c>
      <c r="O111" s="16" t="inlineStr">
        <is>
          <t>Re-perform: seed counts with reason/station; the variance values per ingredient (NOODLE +฿30 High), nets +30/−50 to −20, by_reason PORTIONING +30 / WASTE −50, by_station Sauce +30 (20%); another tenant's counts are excluded (re-performed by the restaurant harness).</t>
        </is>
      </c>
      <c r="P111" s="16" t="inlineStr">
        <is>
          <t>Reason-coded variance roll-up + by-station test</t>
        </is>
      </c>
      <c r="Q111" s="18" t="inlineStr">
        <is>
          <t>Implemented</t>
        </is>
      </c>
    </row>
    <row r="112">
      <c r="A112" s="11" t="inlineStr">
        <is>
          <t>INV-12</t>
        </is>
      </c>
      <c r="B112" s="12" t="inlineStr">
        <is>
          <t>Inventory &amp; COGS</t>
        </is>
      </c>
      <c r="C112" s="13" t="inlineStr">
        <is>
          <t>Application</t>
        </is>
      </c>
      <c r="D112" s="12" t="inlineStr">
        <is>
          <t>Inventory</t>
        </is>
      </c>
      <c r="E112" s="12" t="inlineStr">
        <is>
          <t>Per-branch reorder points are STATIC numbers — set once and never revisited — so a branch whose run-rate has grown carries too small a buffer and stocks out (lost sales), while a slow branch over-orders and ties up cash/spoils stock; neither is flagged.</t>
        </is>
      </c>
      <c r="F112" s="12" t="inlineStr">
        <is>
          <t>Accuracy/Completeness</t>
        </is>
      </c>
      <c r="G11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2" s="13" t="inlineStr">
        <is>
          <t>Det</t>
        </is>
      </c>
      <c r="I112" s="13" t="inlineStr">
        <is>
          <t>Auto+Manual</t>
        </is>
      </c>
      <c r="J112" s="13" t="inlineStr">
        <is>
          <t>Periodic / per planning cycle</t>
        </is>
      </c>
      <c r="K112" s="12" t="inlineStr">
        <is>
          <t>Planner / Supply Chain</t>
        </is>
      </c>
      <c r="L112" s="13" t="inlineStr">
        <is>
          <t>P13</t>
        </is>
      </c>
      <c r="M11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2" s="12" t="inlineStr">
        <is>
          <t>Inspect the avg-daily-usage derivation from consumption logs, the lead-time x safety reorder-point formula, the under_buffered flag, and the planner-gated apply.</t>
        </is>
      </c>
      <c r="O112" s="12" t="inlineStr">
        <is>
          <t>Re-perform: seed branch consumption (10/day) at lead 3 -&gt; recommend ROP 38 (under-buffered vs static 10); apply writes 38 onto branch_stock; tenant-isolated (re-performed by the wms harness).</t>
        </is>
      </c>
      <c r="P112" s="12" t="inlineStr">
        <is>
          <t>Par recommendation list + apply test</t>
        </is>
      </c>
      <c r="Q112" s="18" t="inlineStr">
        <is>
          <t>Implemented</t>
        </is>
      </c>
    </row>
    <row r="113">
      <c r="A113" s="15" t="inlineStr">
        <is>
          <t>INV-13</t>
        </is>
      </c>
      <c r="B113" s="16" t="inlineStr">
        <is>
          <t>Inventory &amp; COGS</t>
        </is>
      </c>
      <c r="C113" s="17" t="inlineStr">
        <is>
          <t>Application</t>
        </is>
      </c>
      <c r="D113" s="16" t="inlineStr">
        <is>
          <t>Inventory; Project WIP</t>
        </is>
      </c>
      <c r="E11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3" s="16" t="inlineStr">
        <is>
          <t>Accuracy/Completeness/Existence</t>
        </is>
      </c>
      <c r="G11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3" s="17" t="inlineStr">
        <is>
          <t>Prev</t>
        </is>
      </c>
      <c r="I113" s="17" t="inlineStr">
        <is>
          <t>Automated</t>
        </is>
      </c>
      <c r="J113" s="17" t="inlineStr">
        <is>
          <t>Per reservation / issue</t>
        </is>
      </c>
      <c r="K113" s="16" t="inlineStr">
        <is>
          <t>Warehouse / ProjectController</t>
        </is>
      </c>
      <c r="L113" s="17" t="inlineStr">
        <is>
          <t>P13</t>
        </is>
      </c>
      <c r="M11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3" s="16" t="inlineStr">
        <is>
          <t>Inspect the available = on_hand − held computation, the FOR UPDATE atomicity, the release/consume lifecycle, and the Dr 1260(project)/Cr 1200 issue-to-project posting.</t>
        </is>
      </c>
      <c r="O11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3" s="16" t="inlineStr">
        <is>
          <t>Available-to-issue (on_hand − held); the issue-to-project WIP posting</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FA-07</t>
        </is>
      </c>
      <c r="B172" s="12" t="inlineStr">
        <is>
          <t>Fixed Assets</t>
        </is>
      </c>
      <c r="C172" s="13" t="inlineStr">
        <is>
          <t>Application</t>
        </is>
      </c>
      <c r="D172" s="12" t="inlineStr">
        <is>
          <t>Property, Plant &amp; Equipment; Equity</t>
        </is>
      </c>
      <c r="E172" s="12" t="inlineStr">
        <is>
          <t>Carrying amount not adjusted for revaluation/impairment — asset over/understated.</t>
        </is>
      </c>
      <c r="F172" s="12" t="inlineStr">
        <is>
          <t>Valuation</t>
        </is>
      </c>
      <c r="G17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2" s="13" t="inlineStr">
        <is>
          <t>Det</t>
        </is>
      </c>
      <c r="I172" s="13" t="inlineStr">
        <is>
          <t>Automated</t>
        </is>
      </c>
      <c r="J172" s="13" t="inlineStr">
        <is>
          <t>Per event</t>
        </is>
      </c>
      <c r="K172" s="12" t="inlineStr">
        <is>
          <t>FaAccountant / Controller</t>
        </is>
      </c>
      <c r="L172" s="13" t="inlineStr">
        <is>
          <t>P10</t>
        </is>
      </c>
      <c r="M172" s="12" t="inlineStr">
        <is>
          <t>assets.service.ts (revalue up→3200 / down→5820, listRevaluations; dispose recycles surplus 3200→3100); assets.controller.ts (exec/creditors); schema/assets.ts (asset_revaluations) + migration 0120; cutover/basics.ts (ToE)</t>
        </is>
      </c>
      <c r="N172" s="12" t="inlineStr">
        <is>
          <t>Inspect revaluation/impairment routing + audit log + disposal recycling.</t>
        </is>
      </c>
      <c r="O172" s="12" t="inlineStr">
        <is>
          <t>Upward revaluation credits 3200; impairment debits 5820; no-change → NO_CHANGE; both events logged; on disposal the revaluation surplus is recycled to retained earnings (Dr 3200 / Cr 3100), not through P&amp;L (re-performed by the harness).</t>
        </is>
      </c>
      <c r="P172" s="12" t="inlineStr">
        <is>
          <t>Revaluation log; disposal recycling JE</t>
        </is>
      </c>
      <c r="Q172" s="18" t="inlineStr">
        <is>
          <t>Implemented</t>
        </is>
      </c>
    </row>
    <row r="173">
      <c r="A173" s="15" t="inlineStr">
        <is>
          <t>FA-08</t>
        </is>
      </c>
      <c r="B173" s="16" t="inlineStr">
        <is>
          <t>Fixed Assets</t>
        </is>
      </c>
      <c r="C173" s="17" t="inlineStr">
        <is>
          <t>Application</t>
        </is>
      </c>
      <c r="D173" s="16" t="inlineStr">
        <is>
          <t>Property, Plant &amp; Equipment; Equity</t>
        </is>
      </c>
      <c r="E173" s="16" t="inlineStr">
        <is>
          <t>Carrying amount changed by fair-value revaluation/impairment without independent review — the preparer revalues the asset and posts to equity/P&amp;L on their own (earnings/equity management).</t>
        </is>
      </c>
      <c r="F173" s="16" t="inlineStr">
        <is>
          <t>Authorization</t>
        </is>
      </c>
      <c r="G17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3" s="17" t="inlineStr">
        <is>
          <t>Prev</t>
        </is>
      </c>
      <c r="I173" s="17" t="inlineStr">
        <is>
          <t>Automated</t>
        </is>
      </c>
      <c r="J173" s="17" t="inlineStr">
        <is>
          <t>Per event</t>
        </is>
      </c>
      <c r="K173" s="16" t="inlineStr">
        <is>
          <t>FaAccountant / Controller</t>
        </is>
      </c>
      <c r="L173" s="17" t="inlineStr">
        <is>
          <t>P10</t>
        </is>
      </c>
      <c r="M173" s="16" t="inlineStr">
        <is>
          <t>assets.service.ts revalue(pendingApproval Draft)/approveRevaluation/rejectRevaluation; assets.controller.ts (:assetNo/revalue/approve|reject); schema/assets.ts asset_revaluations.status + migration 0134; cutover/basics.ts + compliance.ts (ToE)</t>
        </is>
      </c>
      <c r="N173" s="16" t="inlineStr">
        <is>
          <t>Inspect Draft→approve flow + the approver≠preparer check + deferred carrying-value update.</t>
        </is>
      </c>
      <c r="O173" s="16" t="inlineStr">
        <is>
          <t>Re-perform: request a revaluation (Draft JE excluded from 3200), attempt self-approve (SOD_VIOLATION), approve as a different user; confirm the surplus/impairment + carrying value move only after approval (re-performed by the harnesses).</t>
        </is>
      </c>
      <c r="P173" s="16" t="inlineStr">
        <is>
          <t>Revaluation approval log + SoD test</t>
        </is>
      </c>
      <c r="Q173" s="18" t="inlineStr">
        <is>
          <t>Implemented</t>
        </is>
      </c>
    </row>
    <row r="174">
      <c r="A174" s="11" t="inlineStr">
        <is>
          <t>LSE-01</t>
        </is>
      </c>
      <c r="B174" s="12" t="inlineStr">
        <is>
          <t>Leases</t>
        </is>
      </c>
      <c r="C174" s="13" t="inlineStr">
        <is>
          <t>Application</t>
        </is>
      </c>
      <c r="D174" s="12" t="inlineStr">
        <is>
          <t>Right-of-use assets; Lease liabilities</t>
        </is>
      </c>
      <c r="E174" s="12" t="inlineStr">
        <is>
          <t>Lease not capitalised (IFRS 16 / TFRS 16) — ROU asset + lease liability omitted; interest/depreciation mis-stated.</t>
        </is>
      </c>
      <c r="F174" s="12" t="inlineStr">
        <is>
          <t>Completeness/Accuracy/Valuation</t>
        </is>
      </c>
      <c r="G17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4" s="13" t="inlineStr">
        <is>
          <t>Det</t>
        </is>
      </c>
      <c r="I174" s="13" t="inlineStr">
        <is>
          <t>Automated</t>
        </is>
      </c>
      <c r="J174" s="13" t="inlineStr">
        <is>
          <t>Per period / per lease</t>
        </is>
      </c>
      <c r="K174" s="12" t="inlineStr">
        <is>
          <t>Controller</t>
        </is>
      </c>
      <c r="L174" s="13" t="inlineStr">
        <is>
          <t>P10</t>
        </is>
      </c>
      <c r="M174" s="12" t="inlineStr">
        <is>
          <t>leases.service.ts (createLease PV recognition, runDueLeases interest+payment+depreciation, modifyLease remeasurement); leases.controller.ts (gl_post); bi.service.ts (lease_periodic_run); schema/leases.ts (leases, rou_nbv) + migration 0120/0121; cutover/basics.ts (ToE)</t>
        </is>
      </c>
      <c r="N174" s="12" t="inlineStr">
        <is>
          <t>Inspect PV recognition + periodic interest/payment/depreciation + final-period clearing + modification remeasurement.</t>
        </is>
      </c>
      <c r="O17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4" s="12" t="inlineStr">
        <is>
          <t>Lease register; periodic run log; modification remeasurement</t>
        </is>
      </c>
      <c r="Q174" s="18" t="inlineStr">
        <is>
          <t>Implemented</t>
        </is>
      </c>
    </row>
    <row r="175">
      <c r="A175" s="15" t="inlineStr">
        <is>
          <t>REC-01</t>
        </is>
      </c>
      <c r="B175" s="16" t="inlineStr">
        <is>
          <t>Reconciliation</t>
        </is>
      </c>
      <c r="C175" s="17" t="inlineStr">
        <is>
          <t>Application</t>
        </is>
      </c>
      <c r="D175" s="16" t="inlineStr">
        <is>
          <t>All</t>
        </is>
      </c>
      <c r="E175" s="16" t="inlineStr">
        <is>
          <t>Subledgers diverge from GL undetected.</t>
        </is>
      </c>
      <c r="F175" s="16" t="inlineStr">
        <is>
          <t>Completeness/Accuracy</t>
        </is>
      </c>
      <c r="G175" s="16" t="inlineStr">
        <is>
          <t>Subledger-to-GL reconciliation per period: import GL, auto-match, certify (sign-off via 'approvals').</t>
        </is>
      </c>
      <c r="H175" s="17" t="inlineStr">
        <is>
          <t>Det</t>
        </is>
      </c>
      <c r="I175" s="17" t="inlineStr">
        <is>
          <t>Auto+Manual</t>
        </is>
      </c>
      <c r="J175" s="17" t="inlineStr">
        <is>
          <t>Monthly</t>
        </is>
      </c>
      <c r="K175" s="16" t="inlineStr">
        <is>
          <t>Controller</t>
        </is>
      </c>
      <c r="L175" s="17" t="inlineStr">
        <is>
          <t>P16</t>
        </is>
      </c>
      <c r="M175" s="16" t="inlineStr">
        <is>
          <t>reconciliation.service.ts (importGlItems/autoMatch/certify)</t>
        </is>
      </c>
      <c r="N175" s="16" t="inlineStr">
        <is>
          <t>Inspect recon + certify gate.</t>
        </is>
      </c>
      <c r="O175" s="16" t="inlineStr">
        <is>
          <t>Sample periods: reconciled, unmatched cleared, certified.</t>
        </is>
      </c>
      <c r="P175" s="16" t="inlineStr">
        <is>
          <t>Certified recon</t>
        </is>
      </c>
      <c r="Q175" s="18" t="inlineStr">
        <is>
          <t>Implemented</t>
        </is>
      </c>
    </row>
    <row r="176">
      <c r="A176" s="11" t="inlineStr">
        <is>
          <t>REC-02</t>
        </is>
      </c>
      <c r="B176" s="12" t="inlineStr">
        <is>
          <t>Reconciliation</t>
        </is>
      </c>
      <c r="C176" s="13" t="inlineStr">
        <is>
          <t>Application</t>
        </is>
      </c>
      <c r="D176" s="12" t="inlineStr">
        <is>
          <t>Cash</t>
        </is>
      </c>
      <c r="E176" s="12" t="inlineStr">
        <is>
          <t>Bank balance not reconciled to GL.</t>
        </is>
      </c>
      <c r="F176" s="12" t="inlineStr">
        <is>
          <t>Existence/Completeness</t>
        </is>
      </c>
      <c r="G176" s="12" t="inlineStr">
        <is>
          <t>Bank reconciliation against statements.</t>
        </is>
      </c>
      <c r="H176" s="13" t="inlineStr">
        <is>
          <t>Det</t>
        </is>
      </c>
      <c r="I176" s="13" t="inlineStr">
        <is>
          <t>Auto+Manual</t>
        </is>
      </c>
      <c r="J176" s="13" t="inlineStr">
        <is>
          <t>Monthly</t>
        </is>
      </c>
      <c r="K176" s="12" t="inlineStr">
        <is>
          <t>Controller</t>
        </is>
      </c>
      <c r="L176" s="13" t="inlineStr">
        <is>
          <t>P16</t>
        </is>
      </c>
      <c r="M176" s="12" t="inlineStr">
        <is>
          <t>bank module; drizzle/0015_bank_reconciliation</t>
        </is>
      </c>
      <c r="N176" s="12" t="inlineStr">
        <is>
          <t>Inspect bank-rec process.</t>
        </is>
      </c>
      <c r="O176" s="12" t="inlineStr">
        <is>
          <t>Sample months reconciled &amp; reviewed.</t>
        </is>
      </c>
      <c r="P176" s="12" t="inlineStr">
        <is>
          <t>Bank rec</t>
        </is>
      </c>
      <c r="Q176" s="18" t="inlineStr">
        <is>
          <t>Implemented</t>
        </is>
      </c>
    </row>
    <row r="177">
      <c r="A177" s="15" t="inlineStr">
        <is>
          <t>BANK-02</t>
        </is>
      </c>
      <c r="B177" s="16" t="inlineStr">
        <is>
          <t>Cash &amp; Treasury</t>
        </is>
      </c>
      <c r="C177" s="17" t="inlineStr">
        <is>
          <t>Application</t>
        </is>
      </c>
      <c r="D177" s="16" t="inlineStr">
        <is>
          <t>Cash; Operating expense; Interest income</t>
        </is>
      </c>
      <c r="E177" s="16" t="inlineStr">
        <is>
          <t>A bank fee/interest adjustment is posted straight to the GL by one person during reconciliation — a cash outflow mis-booked as interest income, or a fictitious fee posted, with no independent review (single-person posting to the cash account).</t>
        </is>
      </c>
      <c r="F177" s="16" t="inlineStr">
        <is>
          <t>Authorization/Accuracy</t>
        </is>
      </c>
      <c r="G17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7" s="17" t="inlineStr">
        <is>
          <t>Prev</t>
        </is>
      </c>
      <c r="I177" s="17" t="inlineStr">
        <is>
          <t>Automated</t>
        </is>
      </c>
      <c r="J177" s="17" t="inlineStr">
        <is>
          <t>Per adjustment</t>
        </is>
      </c>
      <c r="K177" s="16" t="inlineStr">
        <is>
          <t>Controller</t>
        </is>
      </c>
      <c r="L177" s="17" t="inlineStr">
        <is>
          <t>P10</t>
        </is>
      </c>
      <c r="M177" s="16" t="inlineStr">
        <is>
          <t>bank.service.ts requestAdjustment/approveAdjustment/rejectAdjustment/listPendingAdjustments (reuses ledger.approveEntry SoD); bank.controller.ts (lines/:id/adjustment requests; adjustment/approve|reject gated approvals/gl_close); cutover/bankrec.ts (ToE)</t>
        </is>
      </c>
      <c r="N177" s="16" t="inlineStr">
        <is>
          <t>Inspect the request→approve flow + the approver≠requester check + that the Draft posts nothing until approval.</t>
        </is>
      </c>
      <c r="O177" s="16" t="inlineStr">
        <is>
          <t>Re-perform: request a fee adjustment (line unreconciled, GL difference unchanged), attempt self-approve (SOD_VIOLATION), approve as a different user; confirm the difference closes to 0 only after approval (re-performed by the bankrec harness).</t>
        </is>
      </c>
      <c r="P177" s="16" t="inlineStr">
        <is>
          <t>Bank adjustment queue + SoD test</t>
        </is>
      </c>
      <c r="Q177" s="18" t="inlineStr">
        <is>
          <t>Implemented</t>
        </is>
      </c>
    </row>
    <row r="178">
      <c r="A178" s="11" t="inlineStr">
        <is>
          <t>REC-03</t>
        </is>
      </c>
      <c r="B178" s="12" t="inlineStr">
        <is>
          <t>Reconciliation</t>
        </is>
      </c>
      <c r="C178" s="13" t="inlineStr">
        <is>
          <t>Application</t>
        </is>
      </c>
      <c r="D178" s="12" t="inlineStr">
        <is>
          <t>Consolidation</t>
        </is>
      </c>
      <c r="E178" s="12" t="inlineStr">
        <is>
          <t>Intercompany balances eliminated without an independent reconciliation sign-off.</t>
        </is>
      </c>
      <c r="F178" s="12" t="inlineStr">
        <is>
          <t>Accuracy</t>
        </is>
      </c>
      <c r="G17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8" s="13" t="inlineStr">
        <is>
          <t>Det</t>
        </is>
      </c>
      <c r="I178" s="13" t="inlineStr">
        <is>
          <t>Auto+Manual</t>
        </is>
      </c>
      <c r="J178" s="13" t="inlineStr">
        <is>
          <t>Period</t>
        </is>
      </c>
      <c r="K178" s="12" t="inlineStr">
        <is>
          <t>Group Controller</t>
        </is>
      </c>
      <c r="L178" s="13" t="inlineStr">
        <is>
          <t>P16</t>
        </is>
      </c>
      <c r="M178" s="12" t="inlineStr">
        <is>
          <t>modules/ic-reconciliation/ic-recon.service.ts (prepare/approve, SoD + eliminates gate); consolidation.service.ts runConsolidation (IC_RECON_NOT_APPROVED gate); ic_recon_periods (0205, RLS); cutover/consolidation.ts (ToE)</t>
        </is>
      </c>
      <c r="N178" s="12" t="inlineStr">
        <is>
          <t>Inspect the per-period IC reconciliation sign-off + the consolidation gate.</t>
        </is>
      </c>
      <c r="O178" s="12" t="inlineStr">
        <is>
          <t>Re-perform: consolidation is blocked before sign-off (IC_RECON_NOT_APPROVED); the preparer cannot approve their own reconciliation (SOD_VIOLATION); an independent approver signs off (balances eliminate) → consolidation proceeds.</t>
        </is>
      </c>
      <c r="P178" s="12" t="inlineStr">
        <is>
          <t>IC reconciliation sign-off + consolidation gate ToE</t>
        </is>
      </c>
      <c r="Q178" s="18" t="inlineStr">
        <is>
          <t>Implemented</t>
        </is>
      </c>
    </row>
    <row r="179">
      <c r="A179" s="15" t="inlineStr">
        <is>
          <t>REC-04</t>
        </is>
      </c>
      <c r="B179" s="16" t="inlineStr">
        <is>
          <t>Reconciliation</t>
        </is>
      </c>
      <c r="C179" s="17" t="inlineStr">
        <is>
          <t>Application</t>
        </is>
      </c>
      <c r="D179" s="16" t="inlineStr">
        <is>
          <t>All control accounts</t>
        </is>
      </c>
      <c r="E179" s="16" t="inlineStr">
        <is>
          <t>A sub-ledger silently drifts from its GL control account at period-end and no single review catches it (incomplete/inaccurate balances reach the financial statements).</t>
        </is>
      </c>
      <c r="F179" s="16" t="inlineStr">
        <is>
          <t>Completeness/Accuracy</t>
        </is>
      </c>
      <c r="G17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9" s="17" t="inlineStr">
        <is>
          <t>Det</t>
        </is>
      </c>
      <c r="I179" s="17" t="inlineStr">
        <is>
          <t>Automated</t>
        </is>
      </c>
      <c r="J179" s="17" t="inlineStr">
        <is>
          <t>Period / on demand</t>
        </is>
      </c>
      <c r="K179" s="16" t="inlineStr">
        <is>
          <t>Controller / CFO</t>
        </is>
      </c>
      <c r="L179" s="17" t="inlineStr">
        <is>
          <t>P16</t>
        </is>
      </c>
      <c r="M179" s="16" t="inlineStr">
        <is>
          <t>finance.service.ts reconcileControls; finance.controller.ts GET reconciliation/controls (exec/ar/creditors); reuses ledger.trialBalance + the AR/AP/inventory/gift-card/deferred sub-ledgers; cutover/giftcards.ts + compliance.ts (ToE)</t>
        </is>
      </c>
      <c r="N179" s="16" t="inlineStr">
        <is>
          <t>Inspect the pack: each control account's sub-ledger query + the GL tie + the exceptions roll-up.</t>
        </is>
      </c>
      <c r="O179" s="16" t="inlineStr">
        <is>
          <t>Re-perform: with a clean set, every line reconciled + all_reconciled=true; introduce a known sub-ledger/GL difference and confirm it surfaces as an exception (re-performed: gift-card 2200 + inventory 1200 ties asserted by the harnesses).</t>
        </is>
      </c>
      <c r="P179" s="16" t="inlineStr">
        <is>
          <t>Reconciliation pack; exceptions list</t>
        </is>
      </c>
      <c r="Q179" s="18" t="inlineStr">
        <is>
          <t>Implemented</t>
        </is>
      </c>
    </row>
    <row r="180">
      <c r="A180" s="11" t="inlineStr">
        <is>
          <t>REC-05</t>
        </is>
      </c>
      <c r="B180" s="12" t="inlineStr">
        <is>
          <t>Reconciliation</t>
        </is>
      </c>
      <c r="C180" s="13" t="inlineStr">
        <is>
          <t>Application</t>
        </is>
      </c>
      <c r="D180" s="12" t="inlineStr">
        <is>
          <t>Cash; Bank</t>
        </is>
      </c>
      <c r="E180" s="12" t="inlineStr">
        <is>
          <t>Till cash dropped to the safe never reaches the bank, or a deposit isn't matched to the statement — cash sits unbanked (theft/loss exposure) or the bank balance can't be tied to the books.</t>
        </is>
      </c>
      <c r="F180" s="12" t="inlineStr">
        <is>
          <t>Completeness/Existence/Authorization</t>
        </is>
      </c>
      <c r="G18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0" s="13" t="inlineStr">
        <is>
          <t>Det/Prev</t>
        </is>
      </c>
      <c r="I180" s="13" t="inlineStr">
        <is>
          <t>Auto+Manual</t>
        </is>
      </c>
      <c r="J180" s="13" t="inlineStr">
        <is>
          <t>Per banking run</t>
        </is>
      </c>
      <c r="K180" s="12" t="inlineStr">
        <is>
          <t>FinancialController / Treasury</t>
        </is>
      </c>
      <c r="L180" s="13" t="inlineStr">
        <is>
          <t>P16</t>
        </is>
      </c>
      <c r="M18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0" s="12" t="inlineStr">
        <is>
          <t>Inspect the undeposited-drop exposure read + the deposit GL (bank↔1000) + the reconcile step + the SoD (cashier vs treasury).</t>
        </is>
      </c>
      <c r="O180" s="12" t="inlineStr">
        <is>
          <t>Re-perform: two till drops → cash-in-safe shows the total; a cashier (pos_till) cannot bank (403); treasury banks → Dr bank / Cr 1000, cash-in-safe back to 0; reconcile the deposit; trial balance balanced (re-performed by the cash-banking harness).</t>
        </is>
      </c>
      <c r="P180" s="12" t="inlineStr">
        <is>
          <t>Bank-deposit register; undeposited-drop (cash-in-safe) exposure</t>
        </is>
      </c>
      <c r="Q180" s="18" t="inlineStr">
        <is>
          <t>Implemented</t>
        </is>
      </c>
    </row>
    <row r="181">
      <c r="A181" s="15" t="inlineStr">
        <is>
          <t>TR-01</t>
        </is>
      </c>
      <c r="B181" s="16" t="inlineStr">
        <is>
          <t>Cash &amp; Treasury</t>
        </is>
      </c>
      <c r="C181" s="17" t="inlineStr">
        <is>
          <t>Detective</t>
        </is>
      </c>
      <c r="D181" s="16" t="inlineStr">
        <is>
          <t>Cash; Bank</t>
        </is>
      </c>
      <c r="E18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1" s="16" t="inlineStr">
        <is>
          <t>Completeness/Accuracy</t>
        </is>
      </c>
      <c r="G18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1" s="17" t="inlineStr">
        <is>
          <t>Det</t>
        </is>
      </c>
      <c r="I181" s="17" t="inlineStr">
        <is>
          <t>Hybrid</t>
        </is>
      </c>
      <c r="J181" s="17" t="inlineStr">
        <is>
          <t>Weekly / per treasury review</t>
        </is>
      </c>
      <c r="K181" s="16" t="inlineStr">
        <is>
          <t>Treasurer / Controller</t>
        </is>
      </c>
      <c r="L181" s="17" t="inlineStr">
        <is>
          <t>P16</t>
        </is>
      </c>
      <c r="M18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1" s="16" t="inlineStr">
        <is>
          <t>Inspect the cash/bank position (ties to the trial balance), the 13-week forecast + projected trough, the liquidity KPIs, and the FX exposure by currency.</t>
        </is>
      </c>
      <c r="O18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1" s="16" t="inlineStr">
        <is>
          <t>Cash-position / treasury board (finance/metrics/cash/position); harness ToE (finance-kpi)</t>
        </is>
      </c>
      <c r="Q181" s="18" t="inlineStr">
        <is>
          <t>Implemented</t>
        </is>
      </c>
    </row>
    <row r="182">
      <c r="A182" s="11" t="inlineStr">
        <is>
          <t>GOV-01</t>
        </is>
      </c>
      <c r="B182" s="12" t="inlineStr">
        <is>
          <t>Monitoring</t>
        </is>
      </c>
      <c r="C182" s="13" t="inlineStr">
        <is>
          <t>Application</t>
        </is>
      </c>
      <c r="D182" s="12" t="inlineStr">
        <is>
          <t>All</t>
        </is>
      </c>
      <c r="E182" s="12" t="inlineStr">
        <is>
          <t>A maker-checker approval sits un-actioned and is forgotten — a transaction stalls before it is effective, or (worse) a control is quietly bypassed and no one notices an item never got its independent review.</t>
        </is>
      </c>
      <c r="F182" s="12" t="inlineStr">
        <is>
          <t>Authorization/Completeness</t>
        </is>
      </c>
      <c r="G18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2" s="13" t="inlineStr">
        <is>
          <t>Det</t>
        </is>
      </c>
      <c r="I182" s="13" t="inlineStr">
        <is>
          <t>Automated</t>
        </is>
      </c>
      <c r="J182" s="13" t="inlineStr">
        <is>
          <t>Continuous / pre-close</t>
        </is>
      </c>
      <c r="K182" s="12" t="inlineStr">
        <is>
          <t>Controller / CFO</t>
        </is>
      </c>
      <c r="L182" s="13" t="inlineStr">
        <is>
          <t>P16</t>
        </is>
      </c>
      <c r="M18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2" s="12" t="inlineStr">
        <is>
          <t>Inspect the aggregation across all pending sources + the age/overdue roll-up.</t>
        </is>
      </c>
      <c r="O182" s="12" t="inlineStr">
        <is>
          <t>Re-perform: create a pending item (e.g. a Draft JE) and confirm it appears in the worklist with its control ID, amount and age; the overdue count flags items past the threshold (re-performed by the harness).</t>
        </is>
      </c>
      <c r="P182" s="12" t="inlineStr">
        <is>
          <t>Pending-approvals worklist</t>
        </is>
      </c>
      <c r="Q182" s="18" t="inlineStr">
        <is>
          <t>Implemented</t>
        </is>
      </c>
    </row>
    <row r="183">
      <c r="A183" s="15" t="inlineStr">
        <is>
          <t>TAX-01</t>
        </is>
      </c>
      <c r="B183" s="16" t="inlineStr">
        <is>
          <t>Tax</t>
        </is>
      </c>
      <c r="C183" s="17" t="inlineStr">
        <is>
          <t>Application</t>
        </is>
      </c>
      <c r="D183" s="16" t="inlineStr">
        <is>
          <t>Tax (VAT)</t>
        </is>
      </c>
      <c r="E183" s="16" t="inlineStr">
        <is>
          <t>VAT computed incorrectly → filing/penalty risk.</t>
        </is>
      </c>
      <c r="F183" s="16" t="inlineStr">
        <is>
          <t>Accuracy</t>
        </is>
      </c>
      <c r="G183" s="16" t="inlineStr">
        <is>
          <t>VAT via pluggable provider (TH 7%); unit-tested; no hard-coded rate.</t>
        </is>
      </c>
      <c r="H183" s="17" t="inlineStr">
        <is>
          <t>Auto</t>
        </is>
      </c>
      <c r="I183" s="17" t="inlineStr">
        <is>
          <t>Automated</t>
        </is>
      </c>
      <c r="J183" s="17" t="inlineStr">
        <is>
          <t>Per txn</t>
        </is>
      </c>
      <c r="K183" s="16" t="inlineStr">
        <is>
          <t>Tax / Controller</t>
        </is>
      </c>
      <c r="L183" s="17" t="inlineStr">
        <is>
          <t>P10</t>
        </is>
      </c>
      <c r="M183" s="16" t="inlineStr">
        <is>
          <t>tax/tax-providers.ts; tax.service.ts; test/unit.test.ts</t>
        </is>
      </c>
      <c r="N183" s="16" t="inlineStr">
        <is>
          <t>Inspect rate provider + tests.</t>
        </is>
      </c>
      <c r="O183" s="16" t="inlineStr">
        <is>
          <t>Re-perform VAT on sample; tie to return.</t>
        </is>
      </c>
      <c r="P183" s="16" t="inlineStr">
        <is>
          <t>VAT tests</t>
        </is>
      </c>
      <c r="Q183" s="18" t="inlineStr">
        <is>
          <t>Implemented</t>
        </is>
      </c>
    </row>
    <row r="184">
      <c r="A184" s="11" t="inlineStr">
        <is>
          <t>TAX-02</t>
        </is>
      </c>
      <c r="B184" s="12" t="inlineStr">
        <is>
          <t>Tax</t>
        </is>
      </c>
      <c r="C184" s="13" t="inlineStr">
        <is>
          <t>Application</t>
        </is>
      </c>
      <c r="D184" s="12" t="inlineStr">
        <is>
          <t>Tax; Revenue</t>
        </is>
      </c>
      <c r="E184" s="12" t="inlineStr">
        <is>
          <t>Non-compliant e-Tax invoice / not transmitted to ETDA, or a failed SP submission silently lost.</t>
        </is>
      </c>
      <c r="F184" s="12" t="inlineStr">
        <is>
          <t>Accuracy/Compliance</t>
        </is>
      </c>
      <c r="G18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4" s="13" t="inlineStr">
        <is>
          <t>Auto</t>
        </is>
      </c>
      <c r="I184" s="13" t="inlineStr">
        <is>
          <t>Automated</t>
        </is>
      </c>
      <c r="J184" s="13" t="inlineStr">
        <is>
          <t>Per invoice</t>
        </is>
      </c>
      <c r="K184" s="12" t="inlineStr">
        <is>
          <t>Tax</t>
        </is>
      </c>
      <c r="L184" s="13" t="inlineStr">
        <is>
          <t>P10/P13</t>
        </is>
      </c>
      <c r="M184" s="12" t="inlineStr">
        <is>
          <t>tax-docs/etax-xml.ts; etax-email.service.ts; pos-fiscal/etax.service.ts + etax-providers.ts (submit/retryFailed, tested); tax-docs/pdfa3.ts</t>
        </is>
      </c>
      <c r="N184" s="12" t="inlineStr">
        <is>
          <t>Inspect XML schema + email composer + submission log.</t>
        </is>
      </c>
      <c r="O184" s="12" t="inlineStr">
        <is>
          <t>Sample invoices: valid XML, correct CC/escaping; induce a submission failure and confirm it is retryable, not lost.</t>
        </is>
      </c>
      <c r="P184" s="12" t="inlineStr">
        <is>
          <t>e-Tax samples; submission log</t>
        </is>
      </c>
      <c r="Q184" s="18" t="inlineStr">
        <is>
          <t>Implemented</t>
        </is>
      </c>
    </row>
    <row r="185">
      <c r="A185" s="15" t="inlineStr">
        <is>
          <t>TAX-03</t>
        </is>
      </c>
      <c r="B185" s="16" t="inlineStr">
        <is>
          <t>Tax</t>
        </is>
      </c>
      <c r="C185" s="17" t="inlineStr">
        <is>
          <t>Application</t>
        </is>
      </c>
      <c r="D185" s="16" t="inlineStr">
        <is>
          <t>Tax (WHT)</t>
        </is>
      </c>
      <c r="E185" s="16" t="inlineStr">
        <is>
          <t>Withholding tax mis-computed, not withheld at payment, or not tied to the GL.</t>
        </is>
      </c>
      <c r="F185" s="16" t="inlineStr">
        <is>
          <t>Accuracy</t>
        </is>
      </c>
      <c r="G18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5" s="17" t="inlineStr">
        <is>
          <t>Auto</t>
        </is>
      </c>
      <c r="I185" s="17" t="inlineStr">
        <is>
          <t>Automated</t>
        </is>
      </c>
      <c r="J185" s="17" t="inlineStr">
        <is>
          <t>Per payment / monthly</t>
        </is>
      </c>
      <c r="K185" s="16" t="inlineStr">
        <is>
          <t>Tax</t>
        </is>
      </c>
      <c r="L185" s="17" t="inlineStr">
        <is>
          <t>P10</t>
        </is>
      </c>
      <c r="M18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5" s="16" t="inlineStr">
        <is>
          <t>Inspect the WHT-at-payment posting + the ภ.ง.ด.→GL tie-out + the scheduled auto-cert batch.</t>
        </is>
      </c>
      <c r="O18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5" s="16" t="inlineStr">
        <is>
          <t>WHT GL postings + ภ.ง.ด.→GL tie-out + scheduled 50-ทวิ auto-cert ToE</t>
        </is>
      </c>
      <c r="Q185" s="18" t="inlineStr">
        <is>
          <t>Implemented</t>
        </is>
      </c>
    </row>
    <row r="186">
      <c r="A186" s="11" t="inlineStr">
        <is>
          <t>TAX-04</t>
        </is>
      </c>
      <c r="B186" s="12" t="inlineStr">
        <is>
          <t>Tax</t>
        </is>
      </c>
      <c r="C186" s="13" t="inlineStr">
        <is>
          <t>Application</t>
        </is>
      </c>
      <c r="D186" s="12" t="inlineStr">
        <is>
          <t>Tax (VAT); Tax Payable (2100)</t>
        </is>
      </c>
      <c r="E186" s="12" t="inlineStr">
        <is>
          <t>Output/input VAT on the filed ภ.พ.30 return does not agree to the GL — VAT liability mis-stated, a filing/penalty exposure, or a posting omission goes undetected before submission.</t>
        </is>
      </c>
      <c r="F186" s="12" t="inlineStr">
        <is>
          <t>Completeness/Accuracy</t>
        </is>
      </c>
      <c r="G18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6" s="13" t="inlineStr">
        <is>
          <t>Det</t>
        </is>
      </c>
      <c r="I186" s="13" t="inlineStr">
        <is>
          <t>Automated</t>
        </is>
      </c>
      <c r="J186" s="13" t="inlineStr">
        <is>
          <t>Monthly / pre-filing</t>
        </is>
      </c>
      <c r="K186" s="12" t="inlineStr">
        <is>
          <t>Tax / FinancialController</t>
        </is>
      </c>
      <c r="L186" s="13" t="inlineStr">
        <is>
          <t>P10/P16</t>
        </is>
      </c>
      <c r="M186" s="12" t="inlineStr">
        <is>
          <t>tax-reports.service.ts pp30 (outputVat/inputVat + 2100 net-movement tie); tax-reports.controller.ts (GET pp30, pp30/export, exec); tax-reports-pdf.ts; dine-in.service.ts/returns.service.ts/finance.service.ts post 2100 on sale/return/AP; /tax/reports UI; cutover/taxdocs.ts (ToE)</t>
        </is>
      </c>
      <c r="N186" s="12" t="inlineStr">
        <is>
          <t>Inspect the pp30 build + the 2100 net-movement query + the tie flag + the filing deadline.</t>
        </is>
      </c>
      <c r="O18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6" s="12" t="inlineStr">
        <is>
          <t>ภ.พ.30 return + GL-2100 reconciliation tie</t>
        </is>
      </c>
      <c r="Q186" s="18" t="inlineStr">
        <is>
          <t>Implemented</t>
        </is>
      </c>
    </row>
    <row r="187">
      <c r="A187" s="15" t="inlineStr">
        <is>
          <t>TAX-05</t>
        </is>
      </c>
      <c r="B187" s="16" t="inlineStr">
        <is>
          <t>Tax</t>
        </is>
      </c>
      <c r="C187" s="17" t="inlineStr">
        <is>
          <t>Application</t>
        </is>
      </c>
      <c r="D187" s="16" t="inlineStr">
        <is>
          <t>Tax (VAT/WHT)</t>
        </is>
      </c>
      <c r="E18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7" s="16" t="inlineStr">
        <is>
          <t>Completeness/Accuracy/Cutoff</t>
        </is>
      </c>
      <c r="G18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7" s="17" t="inlineStr">
        <is>
          <t>Det/Prev</t>
        </is>
      </c>
      <c r="I187" s="17" t="inlineStr">
        <is>
          <t>Auto+Manual</t>
        </is>
      </c>
      <c r="J187" s="17" t="inlineStr">
        <is>
          <t>Monthly / per filing</t>
        </is>
      </c>
      <c r="K187" s="16" t="inlineStr">
        <is>
          <t>Tax / FinancialController</t>
        </is>
      </c>
      <c r="L187" s="17" t="inlineStr">
        <is>
          <t>P10/P16</t>
        </is>
      </c>
      <c r="M18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7" s="16" t="inlineStr">
        <is>
          <t>Inspect the filing snapshot + the DRAFT→SUBMITTED→ACCEPTED lifecycle + the mandatory submission reference + the no-overwrite-of-a-filed-return rule + the deadline calendar.</t>
        </is>
      </c>
      <c r="O18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7" s="16" t="inlineStr">
        <is>
          <t>thai_tax_filings register + remittance calendar</t>
        </is>
      </c>
      <c r="Q187" s="18" t="inlineStr">
        <is>
          <t>Implemented</t>
        </is>
      </c>
    </row>
    <row r="188">
      <c r="A188" s="11" t="inlineStr">
        <is>
          <t>TAX-06</t>
        </is>
      </c>
      <c r="B188" s="12" t="inlineStr">
        <is>
          <t>Tax</t>
        </is>
      </c>
      <c r="C188" s="13" t="inlineStr">
        <is>
          <t>Application</t>
        </is>
      </c>
      <c r="D188" s="12" t="inlineStr">
        <is>
          <t>Deferred Tax Asset (1700); Deferred Tax Liability (2700); Deferred Tax Expense (5950)</t>
        </is>
      </c>
      <c r="E18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8" s="12" t="inlineStr">
        <is>
          <t>Accuracy/Valuation/Completeness/Authorization/Segregation of Duties</t>
        </is>
      </c>
      <c r="G18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8" s="13" t="inlineStr">
        <is>
          <t>Prev</t>
        </is>
      </c>
      <c r="I188" s="13" t="inlineStr">
        <is>
          <t>Automated</t>
        </is>
      </c>
      <c r="J188" s="13" t="inlineStr">
        <is>
          <t>Quarterly / year-end</t>
        </is>
      </c>
      <c r="K188" s="12" t="inlineStr">
        <is>
          <t>Tax / Financial Controller</t>
        </is>
      </c>
      <c r="L188" s="13" t="inlineStr">
        <is>
          <t>P10</t>
        </is>
      </c>
      <c r="M18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8" s="12" t="inlineStr">
        <is>
          <t>Inspect the temp-difference gathering (allowance×rate DTA + accelerated-dep DTL with the documented tax-dep simplification), the delta-vs-prior-run, the SELF_POST maker-checker, and the 1700/5950 posting through the period-lock gate.</t>
        </is>
      </c>
      <c r="O18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8" s="12" t="inlineStr">
        <is>
          <t>deferred_tax_runs register (Open→Posted, temp-difference schedule, runner/poster); the DEFTAX JE to 1700/5950; quarterly/year-end deferred-tax sign-off</t>
        </is>
      </c>
      <c r="Q188" s="18" t="inlineStr">
        <is>
          <t>Implemented</t>
        </is>
      </c>
    </row>
    <row r="189">
      <c r="A189" s="15" t="inlineStr">
        <is>
          <t>TAX-07</t>
        </is>
      </c>
      <c r="B189" s="16" t="inlineStr">
        <is>
          <t>Tax</t>
        </is>
      </c>
      <c r="C189" s="17" t="inlineStr">
        <is>
          <t>Application</t>
        </is>
      </c>
      <c r="D189" s="16" t="inlineStr">
        <is>
          <t>Tax (VAT); Tax Payable (2100); Revenue (4000); Accounts Receivable (1100)</t>
        </is>
      </c>
      <c r="E18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9" s="16" t="inlineStr">
        <is>
          <t>Accuracy/Completeness/Occurrence/Authorization/Segregation of Duties</t>
        </is>
      </c>
      <c r="G18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9" s="17" t="inlineStr">
        <is>
          <t>Prev</t>
        </is>
      </c>
      <c r="I189" s="17" t="inlineStr">
        <is>
          <t>Automated</t>
        </is>
      </c>
      <c r="J189" s="17" t="inlineStr">
        <is>
          <t>Per note</t>
        </is>
      </c>
      <c r="K189" s="16" t="inlineStr">
        <is>
          <t>Tax / Financial Controller</t>
        </is>
      </c>
      <c r="L189" s="17" t="inlineStr">
        <is>
          <t>P10</t>
        </is>
      </c>
      <c r="M18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9" s="16" t="inlineStr">
        <is>
          <t>Inspect the reference/reason/credit-cap validation, the PendingApproval + Draft-GL issuance, the approver≠issuer SoD, and the signed output-VAT aggregation into the issue period.</t>
        </is>
      </c>
      <c r="O18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9" s="16" t="inlineStr">
        <is>
          <t>ใบลดหนี้/ใบเพิ่มหนี้ register (PendingApproval→Issued/Voided, original ref + reason, issuer/approver); the CN/DN JE to 4000/2100/1100; the signed output-VAT report row</t>
        </is>
      </c>
      <c r="Q189" s="18" t="inlineStr">
        <is>
          <t>Implemented</t>
        </is>
      </c>
    </row>
    <row r="190">
      <c r="A190" s="11" t="inlineStr">
        <is>
          <t>TAX-08</t>
        </is>
      </c>
      <c r="B190" s="12" t="inlineStr">
        <is>
          <t>Tax</t>
        </is>
      </c>
      <c r="C190" s="13" t="inlineStr">
        <is>
          <t>Application</t>
        </is>
      </c>
      <c r="D190" s="12" t="inlineStr">
        <is>
          <t>Input VAT (1300); PP36 VAT Payable (2120); Expense (5100)</t>
        </is>
      </c>
      <c r="E19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0" s="12" t="inlineStr">
        <is>
          <t>Completeness/Accuracy/Compliance</t>
        </is>
      </c>
      <c r="G19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0" s="13" t="inlineStr">
        <is>
          <t>Det</t>
        </is>
      </c>
      <c r="I190" s="13" t="inlineStr">
        <is>
          <t>Automated</t>
        </is>
      </c>
      <c r="J190" s="13" t="inlineStr">
        <is>
          <t>Per bill / monthly</t>
        </is>
      </c>
      <c r="K190" s="12" t="inlineStr">
        <is>
          <t>Tax</t>
        </is>
      </c>
      <c r="L190" s="13" t="inlineStr">
        <is>
          <t>P10</t>
        </is>
      </c>
      <c r="M19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0" s="12" t="inlineStr">
        <is>
          <t>Inspect the reverse_charge net booking + the Dr 1300 / Cr 2120 self-assessment leg, the ภ.พ.36 report + GL 2120 tie, and the filing/remittance-calendar wiring.</t>
        </is>
      </c>
      <c r="O19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0" s="12" t="inlineStr">
        <is>
          <t>ภ.พ.36 report + GL 2120 reconciliation tie; the self-assessment JE (1300/2120); the ภ.พ.36 filing register row + remittance calendar</t>
        </is>
      </c>
      <c r="Q190" s="18" t="inlineStr">
        <is>
          <t>Implemented</t>
        </is>
      </c>
    </row>
    <row r="191">
      <c r="A191" s="15" t="inlineStr">
        <is>
          <t>TAX-09</t>
        </is>
      </c>
      <c r="B191" s="16" t="inlineStr">
        <is>
          <t>Tax</t>
        </is>
      </c>
      <c r="C191" s="17" t="inlineStr">
        <is>
          <t>Application</t>
        </is>
      </c>
      <c r="D191" s="16" t="inlineStr">
        <is>
          <t>SBT Payable (2130); SBT Expense (5840); Project Revenue (4200)</t>
        </is>
      </c>
      <c r="E19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1" s="16" t="inlineStr">
        <is>
          <t>Completeness/Accuracy/Compliance</t>
        </is>
      </c>
      <c r="G19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1" s="17" t="inlineStr">
        <is>
          <t>Det</t>
        </is>
      </c>
      <c r="I191" s="17" t="inlineStr">
        <is>
          <t>Automated</t>
        </is>
      </c>
      <c r="J191" s="17" t="inlineStr">
        <is>
          <t>Per transfer / monthly</t>
        </is>
      </c>
      <c r="K191" s="16" t="inlineStr">
        <is>
          <t>Tax / Financial Controller</t>
        </is>
      </c>
      <c r="L191" s="17" t="inlineStr">
        <is>
          <t>P10</t>
        </is>
      </c>
      <c r="M19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1" s="16" t="inlineStr">
        <is>
          <t>Inspect the per-project opt-in rate, the atomic Dr 5840 / Cr 2130 accrual inside the transfer JE, the ภ.ธ.40 report + GL 2130 tie, and the filing/remittance-calendar wiring.</t>
        </is>
      </c>
      <c r="O19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1" s="16" t="inlineStr">
        <is>
          <t>ภ.ธ.40 report + GL 2130 reconciliation tie; the transfer JE SBT lines; the ภ.ธ.40 filing register row + remittance calendar</t>
        </is>
      </c>
      <c r="Q191" s="18" t="inlineStr">
        <is>
          <t>Implemented</t>
        </is>
      </c>
    </row>
    <row r="192">
      <c r="A192" s="11" t="inlineStr">
        <is>
          <t>TAX-10</t>
        </is>
      </c>
      <c r="B192" s="12" t="inlineStr">
        <is>
          <t>Tax</t>
        </is>
      </c>
      <c r="C192" s="13" t="inlineStr">
        <is>
          <t>Application</t>
        </is>
      </c>
      <c r="D192" s="12" t="inlineStr">
        <is>
          <t>Tax (VAT); Output VAT (2100); Revenue (4000)</t>
        </is>
      </c>
      <c r="E19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2" s="12" t="inlineStr">
        <is>
          <t>Accuracy/Occurrence/Completeness/Compliance</t>
        </is>
      </c>
      <c r="G19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2" s="13" t="inlineStr">
        <is>
          <t>Prev</t>
        </is>
      </c>
      <c r="I192" s="13" t="inlineStr">
        <is>
          <t>Automated</t>
        </is>
      </c>
      <c r="J192" s="13" t="inlineStr">
        <is>
          <t>Per conversion</t>
        </is>
      </c>
      <c r="K192" s="12" t="inlineStr">
        <is>
          <t>Store Manager / Tax</t>
        </is>
      </c>
      <c r="L192" s="13" t="inlineStr">
        <is>
          <t>P10</t>
        </is>
      </c>
      <c r="M192" s="12" t="inlineStr">
        <is>
          <t>tax/documents/tax-invoice.service.ts convertAbbreviatedToFull; tax-docs.controller.ts POST abbreviated/:docNo/convert-full; dto.ts ConvertAbbBody; schema/tax-docs.ts uq_tiv_converted_from + migration 0291; web /tax/invoices conversion card; cutover/taxdocs.ts (TAX-10 ToE)</t>
        </is>
      </c>
      <c r="N192" s="12" t="inlineStr">
        <is>
          <t>Inspect the buyer Tax-ID validation, the verbatim amount copy, the Replaced-status single-count, the idempotency backstop index and the audit metadata.</t>
        </is>
      </c>
      <c r="O19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2" s="12" t="inlineStr">
        <is>
          <t>Converted-invoice pair (ABB Replaced + linked full TIV); ภ.พ.30 single-count assertion; audit_log tax_abb_convert row; taxdocs harness ToE</t>
        </is>
      </c>
      <c r="Q192" s="18" t="inlineStr">
        <is>
          <t>Implemented</t>
        </is>
      </c>
    </row>
    <row r="193">
      <c r="A193" s="15" t="inlineStr">
        <is>
          <t>PAY-01</t>
        </is>
      </c>
      <c r="B193" s="16" t="inlineStr">
        <is>
          <t>Payroll</t>
        </is>
      </c>
      <c r="C193" s="17" t="inlineStr">
        <is>
          <t>Application</t>
        </is>
      </c>
      <c r="D193" s="16" t="inlineStr">
        <is>
          <t>Payroll expense/liability</t>
        </is>
      </c>
      <c r="E193" s="16" t="inlineStr">
        <is>
          <t>Payroll, SSO and PIT mis-computed.</t>
        </is>
      </c>
      <c r="F193" s="16" t="inlineStr">
        <is>
          <t>Accuracy</t>
        </is>
      </c>
      <c r="G193" s="16" t="inlineStr">
        <is>
          <t>Payroll engine — SSO 5% (cap 750), progressive PIT, payslip net; unit-tested.</t>
        </is>
      </c>
      <c r="H193" s="17" t="inlineStr">
        <is>
          <t>Auto</t>
        </is>
      </c>
      <c r="I193" s="17" t="inlineStr">
        <is>
          <t>Automated</t>
        </is>
      </c>
      <c r="J193" s="17" t="inlineStr">
        <is>
          <t>Per run</t>
        </is>
      </c>
      <c r="K193" s="16" t="inlineStr">
        <is>
          <t>HR / Payroll</t>
        </is>
      </c>
      <c r="L193" s="17" t="inlineStr">
        <is>
          <t>P10</t>
        </is>
      </c>
      <c r="M193" s="16" t="inlineStr">
        <is>
          <t>payroll/payroll-calc.ts; test/unit.test.ts</t>
        </is>
      </c>
      <c r="N193" s="16" t="inlineStr">
        <is>
          <t>Inspect calc + tests.</t>
        </is>
      </c>
      <c r="O193" s="16" t="inlineStr">
        <is>
          <t>Re-perform sample payslips.</t>
        </is>
      </c>
      <c r="P193" s="16" t="inlineStr">
        <is>
          <t>Payslip tests</t>
        </is>
      </c>
      <c r="Q193" s="18" t="inlineStr">
        <is>
          <t>Implemented</t>
        </is>
      </c>
    </row>
    <row r="194">
      <c r="A194" s="11" t="inlineStr">
        <is>
          <t>PAY-02</t>
        </is>
      </c>
      <c r="B194" s="12" t="inlineStr">
        <is>
          <t>Payroll</t>
        </is>
      </c>
      <c r="C194" s="13" t="inlineStr">
        <is>
          <t>Application</t>
        </is>
      </c>
      <c r="D194" s="12" t="inlineStr">
        <is>
          <t>Payroll liability</t>
        </is>
      </c>
      <c r="E194" s="12" t="inlineStr">
        <is>
          <t>Statutory withholdings (SSO/WHT/PF) mis-stated or not remitted, so the liability owed to the authorities diverges from the books.</t>
        </is>
      </c>
      <c r="F194" s="12" t="inlineStr">
        <is>
          <t>Accuracy/Compliance</t>
        </is>
      </c>
      <c r="G19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4" s="13" t="inlineStr">
        <is>
          <t>Det</t>
        </is>
      </c>
      <c r="I194" s="13" t="inlineStr">
        <is>
          <t>Automated</t>
        </is>
      </c>
      <c r="J194" s="13" t="inlineStr">
        <is>
          <t>Per run / monthly</t>
        </is>
      </c>
      <c r="K194" s="12" t="inlineStr">
        <is>
          <t>HR / Payroll / Treasury</t>
        </is>
      </c>
      <c r="L194" s="13" t="inlineStr">
        <is>
          <t>P10</t>
        </is>
      </c>
      <c r="M194" s="12" t="inlineStr">
        <is>
          <t>payroll/payroll.service.ts liabilities/remitLiability</t>
        </is>
      </c>
      <c r="N194" s="12" t="inlineStr">
        <is>
          <t>Inspect the schedule + the accrued/remitted/outstanding tie-out and the reconciled flag.</t>
        </is>
      </c>
      <c r="O194" s="12" t="inlineStr">
        <is>
          <t>Re-perform: run a payroll, confirm the SSO/WHT outstanding equals the payrun accrual; remit part and confirm the outstanding falls and the TB stays balanced; attempt an over-remit (REMIT_EXCEEDS_OUTSTANDING).</t>
        </is>
      </c>
      <c r="P194" s="12" t="inlineStr">
        <is>
          <t>Liability schedule + remittance JEs tied to filings</t>
        </is>
      </c>
      <c r="Q194" s="18" t="inlineStr">
        <is>
          <t>Implemented</t>
        </is>
      </c>
    </row>
    <row r="195">
      <c r="A195" s="15" t="inlineStr">
        <is>
          <t>PAY-03</t>
        </is>
      </c>
      <c r="B195" s="16" t="inlineStr">
        <is>
          <t>Payroll</t>
        </is>
      </c>
      <c r="C195" s="17" t="inlineStr">
        <is>
          <t>Application</t>
        </is>
      </c>
      <c r="D195" s="16" t="inlineStr">
        <is>
          <t>Payroll expense/liability; Cash</t>
        </is>
      </c>
      <c r="E195" s="16" t="inlineStr">
        <is>
          <t>Payroll run posted to the GL without independent review — the preparer both computes and posts their own payroll (ghost employees, inflated rate/hours).</t>
        </is>
      </c>
      <c r="F195" s="16" t="inlineStr">
        <is>
          <t>Authorization</t>
        </is>
      </c>
      <c r="G19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5" s="17" t="inlineStr">
        <is>
          <t>Prev</t>
        </is>
      </c>
      <c r="I195" s="17" t="inlineStr">
        <is>
          <t>Automated</t>
        </is>
      </c>
      <c r="J195" s="17" t="inlineStr">
        <is>
          <t>Per run</t>
        </is>
      </c>
      <c r="K195" s="16" t="inlineStr">
        <is>
          <t>HR / Payroll; Controller</t>
        </is>
      </c>
      <c r="L195" s="17" t="inlineStr">
        <is>
          <t>P10</t>
        </is>
      </c>
      <c r="M195" s="16" t="inlineStr">
        <is>
          <t>payroll/payroll.service.ts approvePayroll/rejectPayroll; migration 0133</t>
        </is>
      </c>
      <c r="N195" s="16" t="inlineStr">
        <is>
          <t>Inspect Draft→approve flow + the approver≠preparer check.</t>
        </is>
      </c>
      <c r="O195" s="16" t="inlineStr">
        <is>
          <t>Re-perform: run as A, attempt self-approve (SOD_VIOLATION), approve as B; confirm the JE hits balances only after approval.</t>
        </is>
      </c>
      <c r="P195" s="16" t="inlineStr">
        <is>
          <t>Approval log + SoD test</t>
        </is>
      </c>
      <c r="Q195" s="18" t="inlineStr">
        <is>
          <t>Implemented</t>
        </is>
      </c>
    </row>
    <row r="196">
      <c r="A196" s="11" t="inlineStr">
        <is>
          <t>PAY-04</t>
        </is>
      </c>
      <c r="B196" s="12" t="inlineStr">
        <is>
          <t>Payroll</t>
        </is>
      </c>
      <c r="C196" s="13" t="inlineStr">
        <is>
          <t>Application</t>
        </is>
      </c>
      <c r="D196" s="12" t="inlineStr">
        <is>
          <t>Payroll expense; Labor cost</t>
        </is>
      </c>
      <c r="E19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6" s="12" t="inlineStr">
        <is>
          <t>Accuracy/Completeness</t>
        </is>
      </c>
      <c r="G19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6" s="13" t="inlineStr">
        <is>
          <t>Det/Prev</t>
        </is>
      </c>
      <c r="I196" s="13" t="inlineStr">
        <is>
          <t>Auto+Manual</t>
        </is>
      </c>
      <c r="J196" s="13" t="inlineStr">
        <is>
          <t>Per shift / payroll cycle</t>
        </is>
      </c>
      <c r="K196" s="12" t="inlineStr">
        <is>
          <t>HR / Store Ops Mgr</t>
        </is>
      </c>
      <c r="L196" s="13" t="inlineStr">
        <is>
          <t>P10/P13</t>
        </is>
      </c>
      <c r="M19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6" s="12" t="inlineStr">
        <is>
          <t>Inspect the statutory-default overlay, the tier multipliers, the 48h cap + over_cap flag, and the labor-% threshold alert (raise/idempotent/resolve).</t>
        </is>
      </c>
      <c r="O19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6" s="12" t="inlineStr">
        <is>
          <t>labor_ot_rules + labor_alerts register; OT/labor-% test</t>
        </is>
      </c>
      <c r="Q196" s="18" t="inlineStr">
        <is>
          <t>Implemented</t>
        </is>
      </c>
    </row>
    <row r="197">
      <c r="A197" s="15" t="inlineStr">
        <is>
          <t>PAY-05</t>
        </is>
      </c>
      <c r="B197" s="16" t="inlineStr">
        <is>
          <t>Payroll</t>
        </is>
      </c>
      <c r="C197" s="17" t="inlineStr">
        <is>
          <t>Application</t>
        </is>
      </c>
      <c r="D197" s="16" t="inlineStr">
        <is>
          <t>Payroll expense; Labor hours</t>
        </is>
      </c>
      <c r="E19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7" s="16" t="inlineStr">
        <is>
          <t>Existence/Accuracy/Authorization</t>
        </is>
      </c>
      <c r="G19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7" s="17" t="inlineStr">
        <is>
          <t>Prev/Det</t>
        </is>
      </c>
      <c r="I197" s="17" t="inlineStr">
        <is>
          <t>Automated</t>
        </is>
      </c>
      <c r="J197" s="17" t="inlineStr">
        <is>
          <t>Per punch</t>
        </is>
      </c>
      <c r="K197" s="16" t="inlineStr">
        <is>
          <t>HR / Store Ops Mgr</t>
        </is>
      </c>
      <c r="L197" s="17" t="inlineStr">
        <is>
          <t>P10/P13</t>
        </is>
      </c>
      <c r="M19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7" s="16" t="inlineStr">
        <is>
          <t>Inspect the 15-min duplicate-punch guard, the method capture, the geofence pass/fail computation, and the supervisor-override reason + audit trail.</t>
        </is>
      </c>
      <c r="O19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7" s="16" t="inlineStr">
        <is>
          <t>time_clock method/geofence columns + override note; anti-buddy test</t>
        </is>
      </c>
      <c r="Q197" s="18" t="inlineStr">
        <is>
          <t>Implemented</t>
        </is>
      </c>
    </row>
    <row r="198">
      <c r="A198" s="11" t="inlineStr">
        <is>
          <t>PAY-06</t>
        </is>
      </c>
      <c r="B198" s="12" t="inlineStr">
        <is>
          <t>Payroll</t>
        </is>
      </c>
      <c r="C198" s="13" t="inlineStr">
        <is>
          <t>Application</t>
        </is>
      </c>
      <c r="D198" s="12" t="inlineStr">
        <is>
          <t>Payroll PII; Payslip</t>
        </is>
      </c>
      <c r="E19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8" s="12" t="inlineStr">
        <is>
          <t>Confidentiality/Restricted access</t>
        </is>
      </c>
      <c r="G19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8" s="13" t="inlineStr">
        <is>
          <t>Prev</t>
        </is>
      </c>
      <c r="I198" s="13" t="inlineStr">
        <is>
          <t>Automated</t>
        </is>
      </c>
      <c r="J198" s="13" t="inlineStr">
        <is>
          <t>Per access</t>
        </is>
      </c>
      <c r="K198" s="12" t="inlineStr">
        <is>
          <t>HR / Payroll; DPO</t>
        </is>
      </c>
      <c r="L198" s="13" t="inlineStr">
        <is>
          <t>P10</t>
        </is>
      </c>
      <c r="M19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8" s="12" t="inlineStr">
        <is>
          <t>Inspect the me()-&gt;employee_id predicate on the ESS route, the HR-route permission gate, and the last-4 citizen-ID mask.</t>
        </is>
      </c>
      <c r="O19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8" s="12" t="inlineStr">
        <is>
          <t>PDPA payslip-access test (own-200/other-404/HR-403) + masked-ID render</t>
        </is>
      </c>
      <c r="Q198" s="18" t="inlineStr">
        <is>
          <t>Implemented</t>
        </is>
      </c>
    </row>
    <row r="199">
      <c r="A199" s="15" t="inlineStr">
        <is>
          <t>FA-09</t>
        </is>
      </c>
      <c r="B199" s="16" t="inlineStr">
        <is>
          <t>Fixed Assets</t>
        </is>
      </c>
      <c r="C199" s="17" t="inlineStr">
        <is>
          <t>Application</t>
        </is>
      </c>
      <c r="D199" s="16" t="inlineStr">
        <is>
          <t>Property, Plant &amp; Equipment; Cash</t>
        </is>
      </c>
      <c r="E199" s="16" t="inlineStr">
        <is>
          <t>Asset disposed without independent review — one person writes an asset off the books and records the proceeds (asset-stripping / theft: dispose a still-held asset, or to a related party below value).</t>
        </is>
      </c>
      <c r="F199" s="16" t="inlineStr">
        <is>
          <t>Authorization</t>
        </is>
      </c>
      <c r="G19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9" s="17" t="inlineStr">
        <is>
          <t>Prev</t>
        </is>
      </c>
      <c r="I199" s="17" t="inlineStr">
        <is>
          <t>Automated</t>
        </is>
      </c>
      <c r="J199" s="17" t="inlineStr">
        <is>
          <t>Per disposal</t>
        </is>
      </c>
      <c r="K199" s="16" t="inlineStr">
        <is>
          <t>FaAccountant / Controller</t>
        </is>
      </c>
      <c r="L199" s="17" t="inlineStr">
        <is>
          <t>P10</t>
        </is>
      </c>
      <c r="M199" s="16" t="inlineStr">
        <is>
          <t>assets.service.ts dispose(pendingApproval Draft)/approveDisposal/rejectDisposal; assets.controller.ts (:assetNo/dispose/approve|reject); schema/assets.ts fixed_assets.disposal_pending + migration 0135; cutover/basics.ts + worldclass.ts + compliance.ts (ToE)</t>
        </is>
      </c>
      <c r="N199" s="16" t="inlineStr">
        <is>
          <t>Inspect Draft→approve flow + the approver≠requester check + deferred status/recycle.</t>
        </is>
      </c>
      <c r="O199" s="16" t="inlineStr">
        <is>
          <t>Re-perform: request a disposal (Draft JE excluded), attempt self-approve (SOD_VIOLATION), approve as a different user; confirm status→disposed + surplus recycled only after approval (re-performed by the harnesses).</t>
        </is>
      </c>
      <c r="P199" s="16" t="inlineStr">
        <is>
          <t>Disposal approval log + SoD test</t>
        </is>
      </c>
      <c r="Q199" s="18" t="inlineStr">
        <is>
          <t>Implemented</t>
        </is>
      </c>
    </row>
    <row r="200">
      <c r="A200" s="11" t="inlineStr">
        <is>
          <t>FA-10</t>
        </is>
      </c>
      <c r="B200" s="12" t="inlineStr">
        <is>
          <t>Fixed Assets</t>
        </is>
      </c>
      <c r="C200" s="13" t="inlineStr">
        <is>
          <t>Application</t>
        </is>
      </c>
      <c r="D200" s="12" t="inlineStr">
        <is>
          <t>Property, Plant &amp; Equipment; Accounts Payable</t>
        </is>
      </c>
      <c r="E200" s="12" t="inlineStr">
        <is>
          <t>Capital purchases mis-capitalised or capitalised without independent review — the person who receives the goods also decides what enters the asset register and at what cost/useful life (fictitious or over-valued assets; capex/opex mis-classification).</t>
        </is>
      </c>
      <c r="F200" s="12" t="inlineStr">
        <is>
          <t>Authorization; Accuracy</t>
        </is>
      </c>
      <c r="G20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0" s="13" t="inlineStr">
        <is>
          <t>Prev</t>
        </is>
      </c>
      <c r="I200" s="13" t="inlineStr">
        <is>
          <t>Automated</t>
        </is>
      </c>
      <c r="J200" s="13" t="inlineStr">
        <is>
          <t>Per capital receipt</t>
        </is>
      </c>
      <c r="K200" s="12" t="inlineStr">
        <is>
          <t>FaAccountant / Controller</t>
        </is>
      </c>
      <c r="L200" s="13" t="inlineStr">
        <is>
          <t>P10</t>
        </is>
      </c>
      <c r="M20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0" s="12" t="inlineStr">
        <is>
          <t>Inspect the eligible→request→approve flow + approver≠requester check + the inventory-vs-asset routing of capital lines.</t>
        </is>
      </c>
      <c r="O200" s="12" t="inlineStr">
        <is>
          <t>Re-perform: receive a capital line, raise a registration (no GL), attempt self-approve (SOD_VIOLATION), approve as a different user; confirm the asset + Dr 1500/Cr 2000 post only after approval and the line cannot be re-registered (re-performed by the harnesses).</t>
        </is>
      </c>
      <c r="P200" s="12" t="inlineStr">
        <is>
          <t>Capitalization approval log + SoD test</t>
        </is>
      </c>
      <c r="Q200" s="18" t="inlineStr">
        <is>
          <t>Implemented</t>
        </is>
      </c>
    </row>
    <row r="201">
      <c r="A201" s="15" t="inlineStr">
        <is>
          <t>FA-11</t>
        </is>
      </c>
      <c r="B201" s="16" t="inlineStr">
        <is>
          <t>Fixed Assets</t>
        </is>
      </c>
      <c r="C201" s="17" t="inlineStr">
        <is>
          <t>Application</t>
        </is>
      </c>
      <c r="D201" s="16" t="inlineStr">
        <is>
          <t>Property, Plant &amp; Equipment</t>
        </is>
      </c>
      <c r="E20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1" s="16" t="inlineStr">
        <is>
          <t>Authorization; Existence</t>
        </is>
      </c>
      <c r="G20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1" s="17" t="inlineStr">
        <is>
          <t>Prev / Det</t>
        </is>
      </c>
      <c r="I201" s="17" t="inlineStr">
        <is>
          <t>Automated</t>
        </is>
      </c>
      <c r="J201" s="17" t="inlineStr">
        <is>
          <t>Per custody move / per audit</t>
        </is>
      </c>
      <c r="K201" s="16" t="inlineStr">
        <is>
          <t>FaAccountant / Controller</t>
        </is>
      </c>
      <c r="L201" s="17" t="inlineStr">
        <is>
          <t>P10</t>
        </is>
      </c>
      <c r="M20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1" s="16" t="inlineStr">
        <is>
          <t>Inspect the scan-&gt;request-&gt;approve flow + the approver!=requester check + the audit reconcile-&gt;custody-request path.</t>
        </is>
      </c>
      <c r="O20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1" s="16" t="inlineStr">
        <is>
          <t>Custody-change approval log + audit reconciliation + SoD test</t>
        </is>
      </c>
      <c r="Q201" s="18" t="inlineStr">
        <is>
          <t>Implemented</t>
        </is>
      </c>
    </row>
    <row r="202">
      <c r="A202" s="11" t="inlineStr">
        <is>
          <t>FA-12</t>
        </is>
      </c>
      <c r="B202" s="12" t="inlineStr">
        <is>
          <t>Fixed Assets</t>
        </is>
      </c>
      <c r="C202" s="13" t="inlineStr">
        <is>
          <t>Detective</t>
        </is>
      </c>
      <c r="D202" s="12" t="inlineStr">
        <is>
          <t>Property, Plant &amp; Equipment</t>
        </is>
      </c>
      <c r="E202" s="12" t="inlineStr">
        <is>
          <t>Assets exist on the register but are never physically confirmed — a missing/stolen/scrapped asset stays on the books indefinitely because no periodic existence check flags it, overstating PPE and the existence assertion.</t>
        </is>
      </c>
      <c r="F202" s="12" t="inlineStr">
        <is>
          <t>Existence; Completeness</t>
        </is>
      </c>
      <c r="G20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2" s="13" t="inlineStr">
        <is>
          <t>Det</t>
        </is>
      </c>
      <c r="I202" s="13" t="inlineStr">
        <is>
          <t>Automated</t>
        </is>
      </c>
      <c r="J202" s="13" t="inlineStr">
        <is>
          <t>Monthly (scheduled) / on demand</t>
        </is>
      </c>
      <c r="K202" s="12" t="inlineStr">
        <is>
          <t>FaAccountant / Controller</t>
        </is>
      </c>
      <c r="L202" s="13" t="inlineStr">
        <is>
          <t>P16</t>
        </is>
      </c>
      <c r="M202" s="12" t="inlineStr">
        <is>
          <t>assets.service.ts unverifiedAssets/auditReport; assets.controller.ts (unverified, audit-report); bi.service.ts REPORT_TYPES asset_verification_exceptions + asset_audit + generateReport blocks; bi.module.ts imports AssetsModule; cutover/module-qr.ts (ToE)</t>
        </is>
      </c>
      <c r="N202" s="12" t="inlineStr">
        <is>
          <t>Inspect the exception query (last Scan Verify/Update vs N-day threshold, acquisition-date fallback) and that the report is a registered, schedulable BI type.</t>
        </is>
      </c>
      <c r="O20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2" s="12" t="inlineStr">
        <is>
          <t>Scheduled exception report runs + exception list + verification-movement log</t>
        </is>
      </c>
      <c r="Q202" s="18" t="inlineStr">
        <is>
          <t>Implemented</t>
        </is>
      </c>
    </row>
    <row r="203">
      <c r="A203" s="15" t="inlineStr">
        <is>
          <t>CON-01</t>
        </is>
      </c>
      <c r="B203" s="16" t="inlineStr">
        <is>
          <t>Consolidation &amp; FX</t>
        </is>
      </c>
      <c r="C203" s="17" t="inlineStr">
        <is>
          <t>Application</t>
        </is>
      </c>
      <c r="D203" s="16" t="inlineStr">
        <is>
          <t>Consolidation</t>
        </is>
      </c>
      <c r="E203" s="16" t="inlineStr">
        <is>
          <t>Group consolidation mis-stated (ownership/currency).</t>
        </is>
      </c>
      <c r="F203" s="16" t="inlineStr">
        <is>
          <t>Accuracy</t>
        </is>
      </c>
      <c r="G203" s="16" t="inlineStr">
        <is>
          <t>Consolidation run (ownership %, entity currency) gated by 'approvals'.</t>
        </is>
      </c>
      <c r="H203" s="17" t="inlineStr">
        <is>
          <t>Auto+Manual</t>
        </is>
      </c>
      <c r="I203" s="17" t="inlineStr">
        <is>
          <t>Period</t>
        </is>
      </c>
      <c r="J203" s="17" t="inlineStr">
        <is>
          <t>Period</t>
        </is>
      </c>
      <c r="K203" s="16" t="inlineStr">
        <is>
          <t>Group Controller</t>
        </is>
      </c>
      <c r="L203" s="17" t="inlineStr">
        <is>
          <t>P10</t>
        </is>
      </c>
      <c r="M203" s="16" t="inlineStr">
        <is>
          <t>consolidation.service.ts (runConsolidation @Permissions approvals)</t>
        </is>
      </c>
      <c r="N203" s="16" t="inlineStr">
        <is>
          <t>Inspect consolidation logic + gate.</t>
        </is>
      </c>
      <c r="O203" s="16" t="inlineStr">
        <is>
          <t>Sample period: consolidated TB ties to entities.</t>
        </is>
      </c>
      <c r="P203" s="16" t="inlineStr">
        <is>
          <t>Consol TB</t>
        </is>
      </c>
      <c r="Q203" s="18" t="inlineStr">
        <is>
          <t>Implemented</t>
        </is>
      </c>
    </row>
    <row r="204">
      <c r="A204" s="11" t="inlineStr">
        <is>
          <t>CON-02</t>
        </is>
      </c>
      <c r="B204" s="12" t="inlineStr">
        <is>
          <t>Consolidation &amp; FX</t>
        </is>
      </c>
      <c r="C204" s="13" t="inlineStr">
        <is>
          <t>Application</t>
        </is>
      </c>
      <c r="D204" s="12" t="inlineStr">
        <is>
          <t>FX gain/loss</t>
        </is>
      </c>
      <c r="E204" s="12" t="inlineStr">
        <is>
          <t>FX exposures not revalued at period-end.</t>
        </is>
      </c>
      <c r="F204" s="12" t="inlineStr">
        <is>
          <t>Valuation</t>
        </is>
      </c>
      <c r="G204" s="12" t="inlineStr">
        <is>
          <t>FX revaluation at period-end rates; unrealized FX posted (acct 5400).</t>
        </is>
      </c>
      <c r="H204" s="13" t="inlineStr">
        <is>
          <t>Auto+Manual</t>
        </is>
      </c>
      <c r="I204" s="13" t="inlineStr">
        <is>
          <t>Period-end</t>
        </is>
      </c>
      <c r="J204" s="13" t="inlineStr">
        <is>
          <t>Period</t>
        </is>
      </c>
      <c r="K204" s="12" t="inlineStr">
        <is>
          <t>Controller</t>
        </is>
      </c>
      <c r="L204" s="13" t="inlineStr">
        <is>
          <t>P10</t>
        </is>
      </c>
      <c r="M204" s="12" t="inlineStr">
        <is>
          <t>fx.service.ts (revalue / unrealized report)</t>
        </is>
      </c>
      <c r="N204" s="12" t="inlineStr">
        <is>
          <t>Inspect reval logic + rates.</t>
        </is>
      </c>
      <c r="O204" s="12" t="inlineStr">
        <is>
          <t>Recompute reval on sample balances.</t>
        </is>
      </c>
      <c r="P204" s="12" t="inlineStr">
        <is>
          <t>FX reval JE</t>
        </is>
      </c>
      <c r="Q204" s="18" t="inlineStr">
        <is>
          <t>Implemented</t>
        </is>
      </c>
    </row>
    <row r="205">
      <c r="A205" s="15" t="inlineStr">
        <is>
          <t>CON-03</t>
        </is>
      </c>
      <c r="B205" s="16" t="inlineStr">
        <is>
          <t>Consolidation &amp; FX</t>
        </is>
      </c>
      <c r="C205" s="17" t="inlineStr">
        <is>
          <t>Application</t>
        </is>
      </c>
      <c r="D205" s="16" t="inlineStr">
        <is>
          <t>Consolidation</t>
        </is>
      </c>
      <c r="E205" s="16" t="inlineStr">
        <is>
          <t>Intercompany balances/transactions are not eliminated on consolidation, OR eliminations are mis-stated, so the consolidated group trial balance does not balance and group financials are overstated (IC double-counted).</t>
        </is>
      </c>
      <c r="F205" s="16" t="inlineStr">
        <is>
          <t>Accuracy/Completeness</t>
        </is>
      </c>
      <c r="G20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5" s="17" t="inlineStr">
        <is>
          <t>Prev</t>
        </is>
      </c>
      <c r="I205" s="17" t="inlineStr">
        <is>
          <t>Auto+Manual</t>
        </is>
      </c>
      <c r="J205" s="17" t="inlineStr">
        <is>
          <t>Period</t>
        </is>
      </c>
      <c r="K205" s="16" t="inlineStr">
        <is>
          <t>Group Controller</t>
        </is>
      </c>
      <c r="L205" s="17" t="inlineStr">
        <is>
          <t>P10</t>
        </is>
      </c>
      <c r="M20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5" s="16" t="inlineStr">
        <is>
          <t>Inspect the combine→eliminate→balance flow, the CONSOL_UNBALANCED guard, and the run→post approver≠runner check.</t>
        </is>
      </c>
      <c r="O205" s="16" t="inlineStr">
        <is>
          <t>Re-perform: run a group consolidation, confirm IC 1150/2150 eliminate and the consolidated TB balances; attempt self-post (SELF_POST); post as a different user (Posted); re-run the posted period (ALREADY_POSTED). Re-performed by the consolidation harness.</t>
        </is>
      </c>
      <c r="P205" s="16" t="inlineStr">
        <is>
          <t>Consolidated TB + elimination lines + post log</t>
        </is>
      </c>
      <c r="Q205" s="18" t="inlineStr">
        <is>
          <t>Implemented</t>
        </is>
      </c>
    </row>
    <row r="206">
      <c r="A206" s="11" t="inlineStr">
        <is>
          <t>CON-04</t>
        </is>
      </c>
      <c r="B206" s="12" t="inlineStr">
        <is>
          <t>Consolidation &amp; FX</t>
        </is>
      </c>
      <c r="C206" s="13" t="inlineStr">
        <is>
          <t>Application</t>
        </is>
      </c>
      <c r="D206" s="12" t="inlineStr">
        <is>
          <t>All (segment disclosure)</t>
        </is>
      </c>
      <c r="E206" s="12" t="inlineStr">
        <is>
          <t>Segment (branch/project/department) operating results are not reported, so IFRS 8 segment disclosure is incomplete or inaccurate and management/investors cannot see results by reportable segment.</t>
        </is>
      </c>
      <c r="F206" s="12" t="inlineStr">
        <is>
          <t>Presentation/Disclosure</t>
        </is>
      </c>
      <c r="G20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6" s="13" t="inlineStr">
        <is>
          <t>Det</t>
        </is>
      </c>
      <c r="I206" s="13" t="inlineStr">
        <is>
          <t>Auto+Manual</t>
        </is>
      </c>
      <c r="J206" s="13" t="inlineStr">
        <is>
          <t>Period</t>
        </is>
      </c>
      <c r="K206" s="12" t="inlineStr">
        <is>
          <t>Group Controller</t>
        </is>
      </c>
      <c r="L206" s="13" t="inlineStr">
        <is>
          <t>P10</t>
        </is>
      </c>
      <c r="M206" s="12" t="inlineStr">
        <is>
          <t>consolidation.service.ts defineSegment/listSegments/segmentReport; consolidation.controller.ts (segments, segment-report @exec); schema/consolidation.ts segment_definitions + migration 0170; cutover/consolidation.ts (ToE)</t>
        </is>
      </c>
      <c r="N206" s="12" t="inlineStr">
        <is>
          <t>Inspect the segment mapping + the dimension-grouped P&amp;L aggregation.</t>
        </is>
      </c>
      <c r="O206" s="12" t="inlineStr">
        <is>
          <t>Re-perform: define a segment over branches, run the segment report for a period, confirm revenue/expense/net tie to the underlying dimensioned postings. Re-performed by the consolidation harness.</t>
        </is>
      </c>
      <c r="P206" s="12" t="inlineStr">
        <is>
          <t>Segment P&amp;L report</t>
        </is>
      </c>
      <c r="Q206" s="18" t="inlineStr">
        <is>
          <t>Implemented</t>
        </is>
      </c>
    </row>
    <row r="207">
      <c r="A207" s="15" t="inlineStr">
        <is>
          <t>FX-04</t>
        </is>
      </c>
      <c r="B207" s="16" t="inlineStr">
        <is>
          <t>Consolidation &amp; FX</t>
        </is>
      </c>
      <c r="C207" s="17" t="inlineStr">
        <is>
          <t>Application</t>
        </is>
      </c>
      <c r="D207" s="16" t="inlineStr">
        <is>
          <t>FX gain/loss; Revenue; AR/AP</t>
        </is>
      </c>
      <c r="E207" s="16" t="inlineStr">
        <is>
          <t>A wrong manually-entered FX rate (fat-fingered, e.g. USD 36 keyed as 63) flows straight into a period-end revaluation JE and the unrealized-FX report with no independent review — mis-stating earnings/equity and FX-translated balances.</t>
        </is>
      </c>
      <c r="F207" s="16" t="inlineStr">
        <is>
          <t>Accuracy/Valuation</t>
        </is>
      </c>
      <c r="G20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7" s="17" t="inlineStr">
        <is>
          <t>Prev</t>
        </is>
      </c>
      <c r="I207" s="17" t="inlineStr">
        <is>
          <t>Automated</t>
        </is>
      </c>
      <c r="J207" s="17" t="inlineStr">
        <is>
          <t>Per rate</t>
        </is>
      </c>
      <c r="K207" s="16" t="inlineStr">
        <is>
          <t>Controller / Treasury</t>
        </is>
      </c>
      <c r="L207" s="17" t="inlineStr">
        <is>
          <t>P10</t>
        </is>
      </c>
      <c r="M20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7" s="16" t="inlineStr">
        <is>
          <t>Inspect the request→approve flow + the approver≠requester check + that revaluation/reporting resolve Approved rates only.</t>
        </is>
      </c>
      <c r="O207" s="16" t="inlineStr">
        <is>
          <t>Re-perform: enter a manual rate (PendingApproval), confirm revalue is blocked NO_RATE while pending, attempt self-approve (SOD_VIOLATION), approve as a different user, then revalue succeeds (re-performed by the fxreval harness).</t>
        </is>
      </c>
      <c r="P207" s="16" t="inlineStr">
        <is>
          <t>FX rate approval log + SoD test</t>
        </is>
      </c>
      <c r="Q207" s="18" t="inlineStr">
        <is>
          <t>Implemented</t>
        </is>
      </c>
    </row>
    <row r="208">
      <c r="A208" s="11" t="inlineStr">
        <is>
          <t>BUD-01</t>
        </is>
      </c>
      <c r="B208" s="12" t="inlineStr">
        <is>
          <t>Budgeting &amp; Planning</t>
        </is>
      </c>
      <c r="C208" s="13" t="inlineStr">
        <is>
          <t>Application</t>
        </is>
      </c>
      <c r="D208" s="12" t="inlineStr">
        <is>
          <t>Budget; All (variance reporting)</t>
        </is>
      </c>
      <c r="E20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8" s="12" t="inlineStr">
        <is>
          <t>Authorization/Accuracy</t>
        </is>
      </c>
      <c r="G20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8" s="13" t="inlineStr">
        <is>
          <t>Prev</t>
        </is>
      </c>
      <c r="I208" s="13" t="inlineStr">
        <is>
          <t>Automated</t>
        </is>
      </c>
      <c r="J208" s="13" t="inlineStr">
        <is>
          <t>Per budget</t>
        </is>
      </c>
      <c r="K208" s="12" t="inlineStr">
        <is>
          <t>Controller / FP&amp;A</t>
        </is>
      </c>
      <c r="L208" s="13" t="inlineStr">
        <is>
          <t>P10</t>
        </is>
      </c>
      <c r="M208" s="12" t="inlineStr">
        <is>
          <t>budget.service.ts upsertBudget(→PendingApproval)/approveBudget/rejectBudget/budgetVsActual(Approved only); budget.controller.ts (budgets/approve|reject|pending gated approvals/gl_close); schema/budgets.ts budgets.status + migration 0142; cutover/budget.ts (ToE)</t>
        </is>
      </c>
      <c r="N208" s="12" t="inlineStr">
        <is>
          <t>Inspect the request→approve flow + the approver≠requester check + that budget-vs-actual counts Approved budgets only.</t>
        </is>
      </c>
      <c r="O208" s="12" t="inlineStr">
        <is>
          <t>Re-perform: upsert a budget (PendingApproval, excluded from variance), attempt self-approve (SOD_VIOLATION), approve as a different user, confirm it then appears in budget-vs-actual (re-performed by the budget harness).</t>
        </is>
      </c>
      <c r="P208" s="12" t="inlineStr">
        <is>
          <t>Budget approval log + SoD test</t>
        </is>
      </c>
      <c r="Q208" s="18" t="inlineStr">
        <is>
          <t>Implemented</t>
        </is>
      </c>
    </row>
  </sheetData>
  <autoFilter ref="A1:Q20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COUNTIF(RCM!$Q$2:$Q$208,B5)</f>
        <v/>
      </c>
    </row>
    <row r="6">
      <c r="B6" s="27" t="inlineStr">
        <is>
          <t>Partial</t>
        </is>
      </c>
      <c r="C6" s="26">
        <f>COUNTIF(RCM!$Q$2:$Q$208,B6)</f>
        <v/>
      </c>
    </row>
    <row r="7">
      <c r="B7" s="28" t="inlineStr">
        <is>
          <t>Gap</t>
        </is>
      </c>
      <c r="C7" s="26">
        <f>COUNTIF(RCM!$Q$2:$Q$208,B7)</f>
        <v/>
      </c>
    </row>
    <row r="8">
      <c r="B8" s="29" t="inlineStr">
        <is>
          <t>Total</t>
        </is>
      </c>
      <c r="C8" s="29">
        <f>COUNTA(RCM!$A$2:$A$208)</f>
        <v/>
      </c>
    </row>
    <row r="10">
      <c r="B10" s="24" t="inlineStr">
        <is>
          <t>By Category</t>
        </is>
      </c>
    </row>
    <row r="11">
      <c r="B11" s="26" t="inlineStr">
        <is>
          <t>Entity</t>
        </is>
      </c>
      <c r="C11" s="26">
        <f>COUNTIF(RCM!$C$2:$C$208,B11)</f>
        <v/>
      </c>
    </row>
    <row r="12">
      <c r="B12" s="26" t="inlineStr">
        <is>
          <t>ITGC</t>
        </is>
      </c>
      <c r="C12" s="26">
        <f>COUNTIF(RCM!$C$2:$C$208,B12)</f>
        <v/>
      </c>
    </row>
    <row r="13">
      <c r="B13" s="26" t="inlineStr">
        <is>
          <t>Application</t>
        </is>
      </c>
      <c r="C13" s="26">
        <f>COUNTIF(RCM!$C$2:$C$208,B13)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2026-07-10T09:11:52Z</dcterms:created>
  <dcterms:modified xsi:type="dcterms:W3CDTF">2026-07-10T09:11:52Z</dcterms:modified>
</cp:coreProperties>
</file>