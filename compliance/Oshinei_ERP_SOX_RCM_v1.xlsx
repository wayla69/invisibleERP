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CON-01</t>
        </is>
      </c>
      <c r="B204" s="12" t="inlineStr">
        <is>
          <t>Consolidation &amp; FX</t>
        </is>
      </c>
      <c r="C204" s="13" t="inlineStr">
        <is>
          <t>Application</t>
        </is>
      </c>
      <c r="D204" s="12" t="inlineStr">
        <is>
          <t>Consolidation</t>
        </is>
      </c>
      <c r="E204" s="12" t="inlineStr">
        <is>
          <t>Group consolidation mis-stated (ownership/currency).</t>
        </is>
      </c>
      <c r="F204" s="12" t="inlineStr">
        <is>
          <t>Accuracy</t>
        </is>
      </c>
      <c r="G204" s="12" t="inlineStr">
        <is>
          <t>Consolidation run (ownership %, entity currency) gated by 'approvals'.</t>
        </is>
      </c>
      <c r="H204" s="13" t="inlineStr">
        <is>
          <t>Auto+Manual</t>
        </is>
      </c>
      <c r="I204" s="13" t="inlineStr">
        <is>
          <t>Period</t>
        </is>
      </c>
      <c r="J204" s="13" t="inlineStr">
        <is>
          <t>Period</t>
        </is>
      </c>
      <c r="K204" s="12" t="inlineStr">
        <is>
          <t>Group Controller</t>
        </is>
      </c>
      <c r="L204" s="13" t="inlineStr">
        <is>
          <t>P10</t>
        </is>
      </c>
      <c r="M204" s="12" t="inlineStr">
        <is>
          <t>consolidation.service.ts (runConsolidation @Permissions approvals)</t>
        </is>
      </c>
      <c r="N204" s="12" t="inlineStr">
        <is>
          <t>Inspect consolidation logic + gate.</t>
        </is>
      </c>
      <c r="O204" s="12" t="inlineStr">
        <is>
          <t>Sample period: consolidated TB ties to entities.</t>
        </is>
      </c>
      <c r="P204" s="12" t="inlineStr">
        <is>
          <t>Consol TB</t>
        </is>
      </c>
      <c r="Q204" s="18" t="inlineStr">
        <is>
          <t>Implemented</t>
        </is>
      </c>
    </row>
    <row r="205">
      <c r="A205" s="15" t="inlineStr">
        <is>
          <t>CON-02</t>
        </is>
      </c>
      <c r="B205" s="16" t="inlineStr">
        <is>
          <t>Consolidation &amp; FX</t>
        </is>
      </c>
      <c r="C205" s="17" t="inlineStr">
        <is>
          <t>Application</t>
        </is>
      </c>
      <c r="D205" s="16" t="inlineStr">
        <is>
          <t>FX gain/loss</t>
        </is>
      </c>
      <c r="E205" s="16" t="inlineStr">
        <is>
          <t>FX exposures not revalued at period-end.</t>
        </is>
      </c>
      <c r="F205" s="16" t="inlineStr">
        <is>
          <t>Valuation</t>
        </is>
      </c>
      <c r="G205" s="16" t="inlineStr">
        <is>
          <t>FX revaluation at period-end rates; unrealized FX posted (acct 5400).</t>
        </is>
      </c>
      <c r="H205" s="17" t="inlineStr">
        <is>
          <t>Auto+Manual</t>
        </is>
      </c>
      <c r="I205" s="17" t="inlineStr">
        <is>
          <t>Period-end</t>
        </is>
      </c>
      <c r="J205" s="17" t="inlineStr">
        <is>
          <t>Period</t>
        </is>
      </c>
      <c r="K205" s="16" t="inlineStr">
        <is>
          <t>Controller</t>
        </is>
      </c>
      <c r="L205" s="17" t="inlineStr">
        <is>
          <t>P10</t>
        </is>
      </c>
      <c r="M205" s="16" t="inlineStr">
        <is>
          <t>fx.service.ts (revalue / unrealized report)</t>
        </is>
      </c>
      <c r="N205" s="16" t="inlineStr">
        <is>
          <t>Inspect reval logic + rates.</t>
        </is>
      </c>
      <c r="O205" s="16" t="inlineStr">
        <is>
          <t>Recompute reval on sample balances.</t>
        </is>
      </c>
      <c r="P205" s="16" t="inlineStr">
        <is>
          <t>FX reval JE</t>
        </is>
      </c>
      <c r="Q205" s="18" t="inlineStr">
        <is>
          <t>Implemented</t>
        </is>
      </c>
    </row>
    <row r="206">
      <c r="A206" s="11" t="inlineStr">
        <is>
          <t>CON-03</t>
        </is>
      </c>
      <c r="B206" s="12" t="inlineStr">
        <is>
          <t>Consolidation &amp; FX</t>
        </is>
      </c>
      <c r="C206" s="13" t="inlineStr">
        <is>
          <t>Application</t>
        </is>
      </c>
      <c r="D206" s="12" t="inlineStr">
        <is>
          <t>Consolidation</t>
        </is>
      </c>
      <c r="E206" s="12" t="inlineStr">
        <is>
          <t>Intercompany balances/transactions are not eliminated on consolidation, OR eliminations are mis-stated, so the consolidated group trial balance does not balance and group financials are overstated (IC double-counted).</t>
        </is>
      </c>
      <c r="F206" s="12" t="inlineStr">
        <is>
          <t>Accuracy/Completeness</t>
        </is>
      </c>
      <c r="G20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6" s="13" t="inlineStr">
        <is>
          <t>Prev</t>
        </is>
      </c>
      <c r="I206" s="13" t="inlineStr">
        <is>
          <t>Auto+Manual</t>
        </is>
      </c>
      <c r="J206" s="13" t="inlineStr">
        <is>
          <t>Period</t>
        </is>
      </c>
      <c r="K206" s="12" t="inlineStr">
        <is>
          <t>Group Controller</t>
        </is>
      </c>
      <c r="L206" s="13" t="inlineStr">
        <is>
          <t>P10</t>
        </is>
      </c>
      <c r="M20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6" s="12" t="inlineStr">
        <is>
          <t>Inspect the combine→eliminate→balance flow, the CONSOL_UNBALANCED guard, and the run→post approver≠runner check.</t>
        </is>
      </c>
      <c r="O206" s="12" t="inlineStr">
        <is>
          <t>Re-perform: run a group consolidation, confirm IC 1150/2150 eliminate and the consolidated TB balances; attempt self-post (SELF_POST); post as a different user (Posted); re-run the posted period (ALREADY_POSTED). Re-performed by the consolidation harness.</t>
        </is>
      </c>
      <c r="P206" s="12" t="inlineStr">
        <is>
          <t>Consolidated TB + elimination lines + post log</t>
        </is>
      </c>
      <c r="Q206" s="18" t="inlineStr">
        <is>
          <t>Implemented</t>
        </is>
      </c>
    </row>
    <row r="207">
      <c r="A207" s="15" t="inlineStr">
        <is>
          <t>CON-04</t>
        </is>
      </c>
      <c r="B207" s="16" t="inlineStr">
        <is>
          <t>Consolidation &amp; FX</t>
        </is>
      </c>
      <c r="C207" s="17" t="inlineStr">
        <is>
          <t>Application</t>
        </is>
      </c>
      <c r="D207" s="16" t="inlineStr">
        <is>
          <t>All (segment disclosure)</t>
        </is>
      </c>
      <c r="E207" s="16" t="inlineStr">
        <is>
          <t>Segment (branch/project/department) operating results are not reported, so IFRS 8 segment disclosure is incomplete or inaccurate and management/investors cannot see results by reportable segment.</t>
        </is>
      </c>
      <c r="F207" s="16" t="inlineStr">
        <is>
          <t>Presentation/Disclosure</t>
        </is>
      </c>
      <c r="G20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7" s="17" t="inlineStr">
        <is>
          <t>Det</t>
        </is>
      </c>
      <c r="I207" s="17" t="inlineStr">
        <is>
          <t>Auto+Manual</t>
        </is>
      </c>
      <c r="J207" s="17" t="inlineStr">
        <is>
          <t>Period</t>
        </is>
      </c>
      <c r="K207" s="16" t="inlineStr">
        <is>
          <t>Group Controller</t>
        </is>
      </c>
      <c r="L207" s="17" t="inlineStr">
        <is>
          <t>P10</t>
        </is>
      </c>
      <c r="M207" s="16" t="inlineStr">
        <is>
          <t>consolidation.service.ts defineSegment/listSegments/segmentReport; consolidation.controller.ts (segments, segment-report @exec); schema/consolidation.ts segment_definitions + migration 0170; cutover/consolidation.ts (ToE)</t>
        </is>
      </c>
      <c r="N207" s="16" t="inlineStr">
        <is>
          <t>Inspect the segment mapping + the dimension-grouped P&amp;L aggregation.</t>
        </is>
      </c>
      <c r="O207" s="16" t="inlineStr">
        <is>
          <t>Re-perform: define a segment over branches, run the segment report for a period, confirm revenue/expense/net tie to the underlying dimensioned postings. Re-performed by the consolidation harness.</t>
        </is>
      </c>
      <c r="P207" s="16" t="inlineStr">
        <is>
          <t>Segment P&amp;L report</t>
        </is>
      </c>
      <c r="Q207" s="18" t="inlineStr">
        <is>
          <t>Implemented</t>
        </is>
      </c>
    </row>
    <row r="208">
      <c r="A208" s="11" t="inlineStr">
        <is>
          <t>FX-04</t>
        </is>
      </c>
      <c r="B208" s="12" t="inlineStr">
        <is>
          <t>Consolidation &amp; FX</t>
        </is>
      </c>
      <c r="C208" s="13" t="inlineStr">
        <is>
          <t>Application</t>
        </is>
      </c>
      <c r="D208" s="12" t="inlineStr">
        <is>
          <t>FX gain/loss; Revenue; AR/AP</t>
        </is>
      </c>
      <c r="E208" s="12" t="inlineStr">
        <is>
          <t>A wrong manually-entered FX rate (fat-fingered, e.g. USD 36 keyed as 63) flows straight into a period-end revaluation JE and the unrealized-FX report with no independent review — mis-stating earnings/equity and FX-translated balances.</t>
        </is>
      </c>
      <c r="F208" s="12" t="inlineStr">
        <is>
          <t>Accuracy/Valuation</t>
        </is>
      </c>
      <c r="G20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8" s="13" t="inlineStr">
        <is>
          <t>Prev</t>
        </is>
      </c>
      <c r="I208" s="13" t="inlineStr">
        <is>
          <t>Automated</t>
        </is>
      </c>
      <c r="J208" s="13" t="inlineStr">
        <is>
          <t>Per rate</t>
        </is>
      </c>
      <c r="K208" s="12" t="inlineStr">
        <is>
          <t>Controller / Treasury</t>
        </is>
      </c>
      <c r="L208" s="13" t="inlineStr">
        <is>
          <t>P10</t>
        </is>
      </c>
      <c r="M20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8" s="12" t="inlineStr">
        <is>
          <t>Inspect the request→approve flow + the approver≠requester check + that revaluation/reporting resolve Approved rates only.</t>
        </is>
      </c>
      <c r="O208" s="12" t="inlineStr">
        <is>
          <t>Re-perform: enter a manual rate (PendingApproval), confirm revalue is blocked NO_RATE while pending, attempt self-approve (SOD_VIOLATION), approve as a different user, then revalue succeeds (re-performed by the fxreval harness).</t>
        </is>
      </c>
      <c r="P208" s="12" t="inlineStr">
        <is>
          <t>FX rate approval log + SoD test</t>
        </is>
      </c>
      <c r="Q208" s="18" t="inlineStr">
        <is>
          <t>Implemented</t>
        </is>
      </c>
    </row>
    <row r="209">
      <c r="A209" s="15" t="inlineStr">
        <is>
          <t>BUD-01</t>
        </is>
      </c>
      <c r="B209" s="16" t="inlineStr">
        <is>
          <t>Budgeting &amp; Planning</t>
        </is>
      </c>
      <c r="C209" s="17" t="inlineStr">
        <is>
          <t>Application</t>
        </is>
      </c>
      <c r="D209" s="16" t="inlineStr">
        <is>
          <t>Budget; All (variance reporting)</t>
        </is>
      </c>
      <c r="E20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9" s="16" t="inlineStr">
        <is>
          <t>Authorization/Accuracy</t>
        </is>
      </c>
      <c r="G20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9" s="17" t="inlineStr">
        <is>
          <t>Prev</t>
        </is>
      </c>
      <c r="I209" s="17" t="inlineStr">
        <is>
          <t>Automated</t>
        </is>
      </c>
      <c r="J209" s="17" t="inlineStr">
        <is>
          <t>Per budget</t>
        </is>
      </c>
      <c r="K209" s="16" t="inlineStr">
        <is>
          <t>Controller / FP&amp;A</t>
        </is>
      </c>
      <c r="L209" s="17" t="inlineStr">
        <is>
          <t>P10</t>
        </is>
      </c>
      <c r="M209" s="16" t="inlineStr">
        <is>
          <t>budget.service.ts upsertBudget(→PendingApproval)/approveBudget/rejectBudget/budgetVsActual(Approved only); budget.controller.ts (budgets/approve|reject|pending gated approvals/gl_close); schema/budgets.ts budgets.status + migration 0142; cutover/budget.ts (ToE)</t>
        </is>
      </c>
      <c r="N209" s="16" t="inlineStr">
        <is>
          <t>Inspect the request→approve flow + the approver≠requester check + that budget-vs-actual counts Approved budgets only.</t>
        </is>
      </c>
      <c r="O209" s="16" t="inlineStr">
        <is>
          <t>Re-perform: upsert a budget (PendingApproval, excluded from variance), attempt self-approve (SOD_VIOLATION), approve as a different user, confirm it then appears in budget-vs-actual (re-performed by the budget harness).</t>
        </is>
      </c>
      <c r="P209" s="16" t="inlineStr">
        <is>
          <t>Budget approval log + SoD test</t>
        </is>
      </c>
      <c r="Q209" s="18" t="inlineStr">
        <is>
          <t>Implemented</t>
        </is>
      </c>
    </row>
  </sheetData>
  <autoFilter ref="A1:Q2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COUNTIF(RCM!$Q$2:$Q$209,B5)</f>
        <v/>
      </c>
    </row>
    <row r="6">
      <c r="B6" s="27" t="inlineStr">
        <is>
          <t>Partial</t>
        </is>
      </c>
      <c r="C6" s="26">
        <f>COUNTIF(RCM!$Q$2:$Q$209,B6)</f>
        <v/>
      </c>
    </row>
    <row r="7">
      <c r="B7" s="28" t="inlineStr">
        <is>
          <t>Gap</t>
        </is>
      </c>
      <c r="C7" s="26">
        <f>COUNTIF(RCM!$Q$2:$Q$209,B7)</f>
        <v/>
      </c>
    </row>
    <row r="8">
      <c r="B8" s="29" t="inlineStr">
        <is>
          <t>Total</t>
        </is>
      </c>
      <c r="C8" s="29">
        <f>COUNTA(RCM!$A$2:$A$209)</f>
        <v/>
      </c>
    </row>
    <row r="10">
      <c r="B10" s="24" t="inlineStr">
        <is>
          <t>By Category</t>
        </is>
      </c>
    </row>
    <row r="11">
      <c r="B11" s="26" t="inlineStr">
        <is>
          <t>Entity</t>
        </is>
      </c>
      <c r="C11" s="26">
        <f>COUNTIF(RCM!$C$2:$C$209,B11)</f>
        <v/>
      </c>
    </row>
    <row r="12">
      <c r="B12" s="26" t="inlineStr">
        <is>
          <t>ITGC</t>
        </is>
      </c>
      <c r="C12" s="26">
        <f>COUNTIF(RCM!$C$2:$C$209,B12)</f>
        <v/>
      </c>
    </row>
    <row r="13">
      <c r="B13" s="26" t="inlineStr">
        <is>
          <t>Application</t>
        </is>
      </c>
      <c r="C13" s="26">
        <f>COUNTIF(RCM!$C$2:$C$209,B13)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2026-07-10T10:14:51Z</dcterms:created>
  <dcterms:modified xmlns:dcterms="http://purl.org/dc/terms/" xmlns:xsi="http://www.w3.org/2001/XMLSchema-instance" xsi:type="dcterms:W3CDTF">2026-07-10T10:14:51Z</dcterms:modified>
</cp:coreProperties>
</file>