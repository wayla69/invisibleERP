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policies/01-code-of-conduct.md;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</t>
        </is>
      </c>
      <c r="N3" s="16" t="inlineStr">
        <is>
          <t>Inspect the charter + quarterly minutes.</t>
        </is>
      </c>
      <c r="O3" s="16" t="inlineStr">
        <is>
          <t>Inspect minutes evidencing ICFR oversight each quarter — holding the committee + minuting it is the remaining [setup] (operating evidence).</t>
        </is>
      </c>
      <c r="P3" s="16" t="inlineStr">
        <is>
          <t>AC charter + minutes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GL-05).</t>
        </is>
      </c>
      <c r="P4" s="12" t="inlineStr">
        <is>
          <t>DoA approval matrix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policies/02-whistleblower-policy.md;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anonymity),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eliminated without an independent reconciliation sign-off.</t>
        </is>
      </c>
      <c r="F133" s="16" t="inlineStr">
        <is>
          <t>Accuracy</t>
        </is>
      </c>
      <c r="G133" s="16" t="inlineStr">
        <is>
          <t>Per-period intercompany reconciliation sign-off (maker-checker) GATES consolidation elimination: a preparer reconciles the group's IC balances (Due-From 1150 vs Due-To 2150) for the period and signs (Prepared); an independent approver (SoD, approver ≠ preparer) approves only when the balances eliminate (Due-From = Due-To). consolidation.runConsolidation() is hard-gated — it refuses to eliminate until the period's reconciliation is Approved (IC_RECON_NOT_APPROVED).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modules/ic-reconciliation/ic-recon.service.ts (prepare/approve, SoD + eliminates gate); consolidation.service.ts runConsolidation (IC_RECON_NOT_APPROVED gate); ic_recon_periods (0204, RLS); cutover/consolidation.ts (ToE)</t>
        </is>
      </c>
      <c r="N133" s="16" t="inlineStr">
        <is>
          <t>Inspect the per-period IC reconciliation sign-off + the consolidation gate.</t>
        </is>
      </c>
      <c r="O133" s="16" t="inlineStr">
        <is>
          <t>Re-perform: consolidation is blocked before sign-off (IC_RECON_NOT_APPROVED); the preparer cannot approve their own reconciliation (SOD_VIOLATION); an independent approver signs off (balances eliminate) → consolidation proceeds.</t>
        </is>
      </c>
      <c r="P133" s="16" t="inlineStr">
        <is>
          <t>IC reconciliation sign-off + consolidation gate ToE</t>
        </is>
      </c>
      <c r="Q133" s="18" t="inlineStr">
        <is>
          <t>Implemented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mis-computed, not withheld at payment, or not tied to the GL.</t>
        </is>
      </c>
      <c r="F139" s="16" t="inlineStr">
        <is>
          <t>Accuracy</t>
        </is>
      </c>
      <c r="G139" s="16" t="inlineStr">
        <is>
          <t>WHT withheld at AP payment time and posted to the GL, then tied out: when a vendor payment is approved (maker-checker), WHT is computed on the PRE-VAT base and posted Dr 2000 AP / Cr 2361 Vendor-WHT-Payable / Cr 1000 (vendor paid net), so the liability to the RD is on the books. A monthly ภ.ง.ด.3/53 → GL tie-out (pndTieOut) reconciles the GL 2361 movement to the WHT withheld on approved AP payments AND to the 50-ทวิ certificates issued — flagging out-of-process JEs (gl≠ap) and un-certificated withholdings. Payroll PND1 WHT stays a separate account (2360, PAY-02).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payment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finance.service.ts approveApPayment (WHT calc + GL 2361 post); tax-reports.service.ts pndTieOut (ภ.ง.ด.→GL tie-out); ap_payments wht_* (0203); ledger-constants 2361; cutover/taxdocs.ts (ToE)</t>
        </is>
      </c>
      <c r="N139" s="16" t="inlineStr">
        <is>
          <t>Inspect the WHT-at-payment posting + the ภ.ง.ด.→GL tie-out.</t>
        </is>
      </c>
      <c r="O139" s="16" t="inlineStr">
        <is>
          <t>Re-perform: approve a vendor payment with a WHT rate → vendor paid net, GL 2361 credited the WHT; run the tie-out → GL 2361 ties to the AP-withheld total (tied_gl_ap).</t>
        </is>
      </c>
      <c r="P139" s="16" t="inlineStr">
        <is>
          <t>WHT GL postings + ภ.ง.ด.→GL tie-out ToE</t>
        </is>
      </c>
      <c r="Q139" s="18" t="inlineStr">
        <is>
          <t>Implemented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ELC-01</t>
        </is>
      </c>
      <c r="B3" s="13" t="inlineStr">
        <is>
          <t>Entity-Level</t>
        </is>
      </c>
      <c r="C3" s="12" t="inlineStr">
        <is>
          <t>Code-of-conduct policy adopted (v1.0) + register format defined; collect the annual signed acknowledgements (operating evidence).</t>
        </is>
      </c>
      <c r="D3" s="12" t="inlineStr">
        <is>
          <t>Run the annual acknowledgement sign-off; retain the signed register.</t>
        </is>
      </c>
      <c r="E3" s="13" t="inlineStr">
        <is>
          <t>CEO / HR</t>
        </is>
      </c>
      <c r="F3" s="13" t="inlineStr">
        <is>
          <t>Phase 1</t>
        </is>
      </c>
      <c r="G3" s="13" t="inlineStr">
        <is>
          <t>Month 1-2</t>
        </is>
      </c>
      <c r="H3" s="21" t="inlineStr">
        <is>
          <t>Medium</t>
        </is>
      </c>
    </row>
    <row r="4">
      <c r="A4" s="15" t="inlineStr">
        <is>
          <t>ELC-02</t>
        </is>
      </c>
      <c r="B4" s="17" t="inlineStr">
        <is>
          <t>Entity-Level</t>
        </is>
      </c>
      <c r="C4" s="16" t="inlineStr">
        <is>
          <t>Audit-committee charter adopted (v1.0); hold the quarterly ICFR review and minute it (operating evidence).</t>
        </is>
      </c>
      <c r="D4" s="16" t="inlineStr">
        <is>
          <t>Convene the audit committee; retain quarterly ICFR-oversight minutes.</t>
        </is>
      </c>
      <c r="E4" s="17" t="inlineStr">
        <is>
          <t>Board</t>
        </is>
      </c>
      <c r="F4" s="17" t="inlineStr">
        <is>
          <t>Phase 1</t>
        </is>
      </c>
      <c r="G4" s="17" t="inlineStr">
        <is>
          <t>Month 1-2</t>
        </is>
      </c>
      <c r="H4" s="21" t="inlineStr">
        <is>
          <t>Medium</t>
        </is>
      </c>
    </row>
    <row r="5">
      <c r="A5" s="11" t="inlineStr">
        <is>
          <t>ELC-04</t>
        </is>
      </c>
      <c r="B5" s="13" t="inlineStr">
        <is>
          <t>Entity-Level</t>
        </is>
      </c>
      <c r="C5" s="12" t="inlineStr">
        <is>
          <t>Whistleblower / non-retaliation policy adopted (v1.0); stand up the external anonymous reporting channel + case log.</t>
        </is>
      </c>
      <c r="D5" s="12" t="inlineStr">
        <is>
          <t>Contract/stand up the anonymous hotline; retain the case log.</t>
        </is>
      </c>
      <c r="E5" s="13" t="inlineStr">
        <is>
          <t>Audit Cttee</t>
        </is>
      </c>
      <c r="F5" s="13" t="inlineStr">
        <is>
          <t>Phase 1</t>
        </is>
      </c>
      <c r="G5" s="13" t="inlineStr">
        <is>
          <t>Month 2</t>
        </is>
      </c>
      <c r="H5" s="21" t="inlineStr">
        <is>
          <t>Medium</t>
        </is>
      </c>
    </row>
  </sheetData>
  <autoFilter ref="A2:H5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2" t="inlineStr">
        <is>
          <t>Control Activities</t>
        </is>
      </c>
      <c r="B13" s="11" t="n">
        <v>11</v>
      </c>
      <c r="C13" s="22" t="inlineStr">
        <is>
          <t>Selects &amp; develops GENERAL CONTROLS over technology (ITGC)</t>
        </is>
      </c>
      <c r="D13" s="22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3" t="inlineStr">
        <is>
          <t>ICFR Readiness — Control Summary</t>
        </is>
      </c>
    </row>
    <row r="4">
      <c r="B4" s="24" t="inlineStr">
        <is>
          <t>By Status</t>
        </is>
      </c>
    </row>
    <row r="5">
      <c r="B5" s="25" t="inlineStr">
        <is>
          <t>Implemented</t>
        </is>
      </c>
      <c r="C5" s="26">
        <f>COUNTIF(RCM!$Q$2:$Q$155,B5)</f>
        <v/>
      </c>
    </row>
    <row r="6">
      <c r="B6" s="27" t="inlineStr">
        <is>
          <t>Partial</t>
        </is>
      </c>
      <c r="C6" s="26">
        <f>COUNTIF(RCM!$Q$2:$Q$155,B6)</f>
        <v/>
      </c>
    </row>
    <row r="7">
      <c r="B7" s="28" t="inlineStr">
        <is>
          <t>Gap</t>
        </is>
      </c>
      <c r="C7" s="26">
        <f>COUNTIF(RCM!$Q$2:$Q$155,B7)</f>
        <v/>
      </c>
    </row>
    <row r="8">
      <c r="B8" s="29" t="inlineStr">
        <is>
          <t>Total</t>
        </is>
      </c>
      <c r="C8" s="29">
        <f>COUNTA(RCM!$A$2:$A$155)</f>
        <v/>
      </c>
    </row>
    <row r="10">
      <c r="B10" s="24" t="inlineStr">
        <is>
          <t>By Category</t>
        </is>
      </c>
    </row>
    <row r="11">
      <c r="B11" s="26" t="inlineStr">
        <is>
          <t>Entity</t>
        </is>
      </c>
      <c r="C11" s="26">
        <f>COUNTIF(RCM!$C$2:$C$155,B11)</f>
        <v/>
      </c>
    </row>
    <row r="12">
      <c r="B12" s="26" t="inlineStr">
        <is>
          <t>ITGC</t>
        </is>
      </c>
      <c r="C12" s="26">
        <f>COUNTIF(RCM!$C$2:$C$155,B12)</f>
        <v/>
      </c>
    </row>
    <row r="13">
      <c r="B13" s="26" t="inlineStr">
        <is>
          <t>Application</t>
        </is>
      </c>
      <c r="C13" s="26">
        <f>COUNTIF(RCM!$C$2:$C$155,B13)</f>
        <v/>
      </c>
    </row>
    <row r="15">
      <c r="B15" s="29" t="inlineStr">
        <is>
          <t>% Implemented</t>
        </is>
      </c>
      <c r="C15" s="30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2026-06-30T10:19:18Z</dcterms:created>
  <dcterms:modified xmlns:dcterms="http://purl.org/dc/terms/" xmlns:xsi="http://www.w3.org/2001/XMLSchema-instance" xsi:type="dcterms:W3CDTF">2026-06-30T10:19:18Z</dcterms:modified>
</cp:coreProperties>
</file>