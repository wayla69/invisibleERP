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'RCM'!$A$1:$Q$211</definedName>
    <definedName name="_xlnm._FilterDatabase" localSheetId="2" hidden="1">'Gap Remediation'!$A$2:$H$5</definedName>
    <definedName name="_xlnm._FilterDatabase" localSheetId="5" hidden="1">'RCM1'!$A$1:$Q$211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LYL-22</t>
        </is>
      </c>
      <c r="B92" s="12" t="inlineStr">
        <is>
          <t>CRM — Loyalty</t>
        </is>
      </c>
      <c r="C92" s="13" t="inlineStr">
        <is>
          <t>Application</t>
        </is>
      </c>
      <c r="D92" s="12" t="inlineStr">
        <is>
          <t>Revenue; Points liability</t>
        </is>
      </c>
      <c r="E9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2" s="12" t="inlineStr">
        <is>
          <t>Accuracy/Occurrence</t>
        </is>
      </c>
      <c r="G92" s="12" t="inlineStr">
        <is>
          <t>Points-ledger replay guard: earnInTx/redeemInTx first look for an existing pos_member_ledger row for (tenant, member, ref_doc, txn_type) under the member row lock they already hold; when one exists the call returns the points ALREADY booked and mutates nothing (idempotent, so a replayed sale is a no-op rather than a second movement). Migration 0299 adds the hard backstop: a PARTIAL UNIQUE index uq_member_ledger_doc on (tenant_id, member_id, ref_doc, txn_type) WHERE ref_doc IS NOT NULL AND txn_type IN ('Earn','Redeem') — so any path that bypasses the service (a direct insert, a future integration) is rejected by the database. Adjust/Transfer/Expire rows and rows without a source document stay repeatable by design. The guard is inside the loyalty ledger itself, no longer dependent on the sale-level pos_offline_sync dedup one layer up.</t>
        </is>
      </c>
      <c r="H92" s="13" t="inlineStr">
        <is>
          <t>Prev</t>
        </is>
      </c>
      <c r="I92" s="13" t="inlineStr">
        <is>
          <t>Automated</t>
        </is>
      </c>
      <c r="J92" s="13" t="inlineStr">
        <is>
          <t>Per points movement</t>
        </is>
      </c>
      <c r="K92" s="12" t="inlineStr">
        <is>
          <t>HQ Controller / Loyalty owner</t>
        </is>
      </c>
      <c r="L92" s="13" t="inlineStr">
        <is>
          <t>P10</t>
        </is>
      </c>
      <c r="M92" s="12" t="inlineStr">
        <is>
          <t>loyalty/member.service.ts (priorLedgerPoints + earnInTx/redeemInTx guards); migration 0299 (uq_member_ledger_doc); schema/loyalty-members.ts; cutover/loyalty.ts (ToE)</t>
        </is>
      </c>
      <c r="N92" s="12" t="inlineStr">
        <is>
          <t>Inspect the pre-check under the member row lock and the partial unique index (its WHERE clause deliberately exempts Adjust/Transfer/Expire and NULL ref_doc).</t>
        </is>
      </c>
      <c r="O92" s="12" t="inlineStr">
        <is>
          <t>Re-perform: earn against a sale, replay the same sale (same points returned, balance unchanged, exactly one ledger row); redeem and replay it (no second deduction); a DIFFERENT document still books; a hand-written duplicate row is rejected by uq_member_ledger_doc (re-performed by the loyalty harness).</t>
        </is>
      </c>
      <c r="P92" s="12" t="inlineStr">
        <is>
          <t>pos_member_ledger rows per source document; points-liability (2250) roll-forward</t>
        </is>
      </c>
      <c r="Q92" s="18" t="inlineStr">
        <is>
          <t>Implemented</t>
        </is>
      </c>
    </row>
    <row r="93">
      <c r="A93" s="15" t="inlineStr">
        <is>
          <t>MKT-12</t>
        </is>
      </c>
      <c r="B93" s="16" t="inlineStr">
        <is>
          <t>CRM — Loyalty</t>
        </is>
      </c>
      <c r="C93" s="17" t="inlineStr">
        <is>
          <t>Application</t>
        </is>
      </c>
      <c r="D93" s="16" t="inlineStr">
        <is>
          <t>All</t>
        </is>
      </c>
      <c r="E93" s="16" t="inlineStr">
        <is>
          <t>A lifecycle journey (multi-step drip) spams a member (no frequency cap), messages an opted-out member (PDPA breach), or a crashed/re-run step delivers the same message twice — eroding consent compliance and brand trust with no audit trail.</t>
        </is>
      </c>
      <c r="F93" s="16" t="inlineStr">
        <is>
          <t>Occurrence/Authorization</t>
        </is>
      </c>
      <c r="G9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3" s="17" t="inlineStr">
        <is>
          <t>Prev/Det</t>
        </is>
      </c>
      <c r="I93" s="17" t="inlineStr">
        <is>
          <t>Automated</t>
        </is>
      </c>
      <c r="J93" s="17" t="inlineStr">
        <is>
          <t>Per step / scheduled run</t>
        </is>
      </c>
      <c r="K93" s="16" t="inlineStr">
        <is>
          <t>Marketing / Loyalty Admin</t>
        </is>
      </c>
      <c r="L93" s="17" t="inlineStr">
        <is>
          <t>P16</t>
        </is>
      </c>
      <c r="M9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3" s="16" t="inlineStr">
        <is>
          <t>Inspect the claim-first guarded UPDATE, the consent-respecting send path, the frequency-cap check + audited skip, and the tenant scoping.</t>
        </is>
      </c>
      <c r="O9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3" s="16" t="inlineStr">
        <is>
          <t>message_log journey:&lt;code&gt;:&lt;step&gt; rows; journey_enrollments claim trail</t>
        </is>
      </c>
      <c r="Q93" s="18" t="inlineStr">
        <is>
          <t>Implemented</t>
        </is>
      </c>
    </row>
    <row r="94">
      <c r="A94" s="11" t="inlineStr">
        <is>
          <t>EXP-01</t>
        </is>
      </c>
      <c r="B94" s="12" t="inlineStr">
        <is>
          <t>Expenditure</t>
        </is>
      </c>
      <c r="C94" s="13" t="inlineStr">
        <is>
          <t>Application</t>
        </is>
      </c>
      <c r="D94" s="12" t="inlineStr">
        <is>
          <t>Accounts Payable; Inventory</t>
        </is>
      </c>
      <c r="E94" s="12" t="inlineStr">
        <is>
          <t>Pay supplier for goods not ordered/received or wrong price; or the same person who ran the match force-overrides a variance to push their own invoice through.</t>
        </is>
      </c>
      <c r="F94" s="12" t="inlineStr">
        <is>
          <t>Occurrence/Accuracy/Authorization</t>
        </is>
      </c>
      <c r="G9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4" s="13" t="inlineStr">
        <is>
          <t>Prev</t>
        </is>
      </c>
      <c r="I94" s="13" t="inlineStr">
        <is>
          <t>Automated</t>
        </is>
      </c>
      <c r="J94" s="13" t="inlineStr">
        <is>
          <t>Per invoice</t>
        </is>
      </c>
      <c r="K94" s="12" t="inlineStr">
        <is>
          <t>AP / Controller</t>
        </is>
      </c>
      <c r="L94" s="13" t="inlineStr">
        <is>
          <t>P10</t>
        </is>
      </c>
      <c r="M94" s="12" t="inlineStr">
        <is>
          <t>match/three-way-match.service.ts (match gate; override SoD overrider≠matcher); match.controller.ts (override gated creditors/approvals/gl_close); cutover/match.ts (ToE); cutover/compliance.ts (ICFR ToE)</t>
        </is>
      </c>
      <c r="N94" s="12" t="inlineStr">
        <is>
          <t>Inspect match + tolerance + payment gate + the override SoD check.</t>
        </is>
      </c>
      <c r="O94" s="12" t="inlineStr">
        <is>
          <t>Sample invoices: payment blocked until matched; the matcher's self-override is rejected SOD_VIOLATION, an independent override unblocks, a re-match clears it (re-performed by the match + compliance harnesses).</t>
        </is>
      </c>
      <c r="P94" s="12" t="inlineStr">
        <is>
          <t>Match results; override SoD test</t>
        </is>
      </c>
      <c r="Q94" s="18" t="inlineStr">
        <is>
          <t>Implemented</t>
        </is>
      </c>
    </row>
    <row r="95">
      <c r="A95" s="15" t="inlineStr">
        <is>
          <t>EXP-02</t>
        </is>
      </c>
      <c r="B95" s="16" t="inlineStr">
        <is>
          <t>Expenditure</t>
        </is>
      </c>
      <c r="C95" s="17" t="inlineStr">
        <is>
          <t>Application</t>
        </is>
      </c>
      <c r="D95" s="16" t="inlineStr">
        <is>
          <t>Accounts Payable</t>
        </is>
      </c>
      <c r="E95" s="16" t="inlineStr">
        <is>
          <t>Payment to blocklisted/unapproved vendor.</t>
        </is>
      </c>
      <c r="F95" s="16" t="inlineStr">
        <is>
          <t>Validity</t>
        </is>
      </c>
      <c r="G95" s="16" t="inlineStr">
        <is>
          <t>Supplier approval-status / blocklist check blocks PO &amp; payment to blocked vendors.</t>
        </is>
      </c>
      <c r="H95" s="17" t="inlineStr">
        <is>
          <t>Prev</t>
        </is>
      </c>
      <c r="I95" s="17" t="inlineStr">
        <is>
          <t>Automated</t>
        </is>
      </c>
      <c r="J95" s="17" t="inlineStr">
        <is>
          <t>Per txn</t>
        </is>
      </c>
      <c r="K95" s="16" t="inlineStr">
        <is>
          <t>Procurement / AP</t>
        </is>
      </c>
      <c r="L95" s="17" t="inlineStr">
        <is>
          <t>P10</t>
        </is>
      </c>
      <c r="M95" s="16" t="inlineStr">
        <is>
          <t>procurement.service.ts (SUPPLIER_BLOCKED)</t>
        </is>
      </c>
      <c r="N95" s="16" t="inlineStr">
        <is>
          <t>Inspect vendor-status gate.</t>
        </is>
      </c>
      <c r="O95" s="16" t="inlineStr">
        <is>
          <t>Attempt PO to blocked vendor → 422.</t>
        </is>
      </c>
      <c r="P95" s="16" t="inlineStr">
        <is>
          <t>Vendor gate test</t>
        </is>
      </c>
      <c r="Q95" s="18" t="inlineStr">
        <is>
          <t>Implemented</t>
        </is>
      </c>
    </row>
    <row r="96">
      <c r="A96" s="11" t="inlineStr">
        <is>
          <t>EXP-03</t>
        </is>
      </c>
      <c r="B96" s="12" t="inlineStr">
        <is>
          <t>Expenditure</t>
        </is>
      </c>
      <c r="C96" s="13" t="inlineStr">
        <is>
          <t>Application</t>
        </is>
      </c>
      <c r="D96" s="12" t="inlineStr">
        <is>
          <t>Accounts Payable</t>
        </is>
      </c>
      <c r="E96" s="12" t="inlineStr">
        <is>
          <t>PR/PO raised or received without authorization.</t>
        </is>
      </c>
      <c r="F96" s="12" t="inlineStr">
        <is>
          <t>Authorization</t>
        </is>
      </c>
      <c r="G9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6" s="13" t="inlineStr">
        <is>
          <t>Prev</t>
        </is>
      </c>
      <c r="I96" s="13" t="inlineStr">
        <is>
          <t>Auto+Manual</t>
        </is>
      </c>
      <c r="J96" s="13" t="inlineStr">
        <is>
          <t>Per PR/PO</t>
        </is>
      </c>
      <c r="K96" s="12" t="inlineStr">
        <is>
          <t>Procurement Mgr</t>
        </is>
      </c>
      <c r="L96" s="13" t="inlineStr">
        <is>
          <t>P10</t>
        </is>
      </c>
      <c r="M96" s="12" t="inlineStr">
        <is>
          <t>workflow/workflow.service.ts (amount-threshold routing + maker-checker + SoD); procurement.service.ts createGr (PO-approval gate); cutover/compliance.ts (ToE)</t>
        </is>
      </c>
      <c r="N96" s="12" t="inlineStr">
        <is>
          <t>Inspect approval routing + thresholds + the GR-on-approval gate.</t>
        </is>
      </c>
      <c r="O96" s="12" t="inlineStr">
        <is>
          <t>Re-perform: a PR/PO is approved by an authorized approver ≠ requester; a GR against an unapproved PO is blocked (403 PO_NOT_APPROVED).</t>
        </is>
      </c>
      <c r="P96" s="12" t="inlineStr">
        <is>
          <t>Approval trail + GR gate ToE</t>
        </is>
      </c>
      <c r="Q96" s="18" t="inlineStr">
        <is>
          <t>Implemented</t>
        </is>
      </c>
    </row>
    <row r="97">
      <c r="A97" s="15" t="inlineStr">
        <is>
          <t>EXP-04</t>
        </is>
      </c>
      <c r="B97" s="16" t="inlineStr">
        <is>
          <t>Expenditure</t>
        </is>
      </c>
      <c r="C97" s="17" t="inlineStr">
        <is>
          <t>Application</t>
        </is>
      </c>
      <c r="D97" s="16" t="inlineStr">
        <is>
          <t>Accounts Payable</t>
        </is>
      </c>
      <c r="E97" s="16" t="inlineStr">
        <is>
          <t>Match tolerance loosened to force payment.</t>
        </is>
      </c>
      <c r="F97" s="16" t="inlineStr">
        <is>
          <t>Validity</t>
        </is>
      </c>
      <c r="G97" s="16" t="inlineStr">
        <is>
          <t>Match-tolerance configuration change restricted to 'creditors' permission.</t>
        </is>
      </c>
      <c r="H97" s="17" t="inlineStr">
        <is>
          <t>Prev</t>
        </is>
      </c>
      <c r="I97" s="17" t="inlineStr">
        <is>
          <t>Automated</t>
        </is>
      </c>
      <c r="J97" s="17" t="inlineStr">
        <is>
          <t>Per change</t>
        </is>
      </c>
      <c r="K97" s="16" t="inlineStr">
        <is>
          <t>Controller</t>
        </is>
      </c>
      <c r="L97" s="17" t="inlineStr">
        <is>
          <t>P10/P11</t>
        </is>
      </c>
      <c r="M97" s="16" t="inlineStr">
        <is>
          <t>match.controller.ts (PUT tolerance @Permissions creditors)</t>
        </is>
      </c>
      <c r="N97" s="16" t="inlineStr">
        <is>
          <t>Inspect permission on tolerance change.</t>
        </is>
      </c>
      <c r="O97" s="16" t="inlineStr">
        <is>
          <t>Attempt change w/o perm → 403; log changes.</t>
        </is>
      </c>
      <c r="P97" s="16" t="inlineStr">
        <is>
          <t>Config-change log</t>
        </is>
      </c>
      <c r="Q97" s="18" t="inlineStr">
        <is>
          <t>Implemented</t>
        </is>
      </c>
    </row>
    <row r="98">
      <c r="A98" s="11" t="inlineStr">
        <is>
          <t>EXP-05</t>
        </is>
      </c>
      <c r="B98" s="12" t="inlineStr">
        <is>
          <t>Expenditure</t>
        </is>
      </c>
      <c r="C98" s="13" t="inlineStr">
        <is>
          <t>Application</t>
        </is>
      </c>
      <c r="D98" s="12" t="inlineStr">
        <is>
          <t>Operating Expense; Accounts Payable</t>
        </is>
      </c>
      <c r="E98" s="12" t="inlineStr">
        <is>
          <t>Employee/maintenance spend recorded in GL but not as a payable (escapes AP aging; AP sub-ledger ≠ GL control).</t>
        </is>
      </c>
      <c r="F98" s="12" t="inlineStr">
        <is>
          <t>Completeness/Accuracy</t>
        </is>
      </c>
      <c r="G9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8" s="13" t="inlineStr">
        <is>
          <t>Prev</t>
        </is>
      </c>
      <c r="I98" s="13" t="inlineStr">
        <is>
          <t>Automated</t>
        </is>
      </c>
      <c r="J98" s="13" t="inlineStr">
        <is>
          <t>Per claim/WO</t>
        </is>
      </c>
      <c r="K98" s="12" t="inlineStr">
        <is>
          <t>AP / Controller</t>
        </is>
      </c>
      <c r="L98" s="13" t="inlineStr">
        <is>
          <t>P10</t>
        </is>
      </c>
      <c r="M98" s="12" t="inlineStr">
        <is>
          <t>ess.service.ts (approveExpense → createApTxn); eam.service.ts (updateWorkOrderStatus → createApTxn, acct 5710); finance.service.ts (createApTxn expense_account/tenant_id); cutover/ess.ts + basics.ts (ToE)</t>
        </is>
      </c>
      <c r="N98" s="12" t="inlineStr">
        <is>
          <t>Inspect approval→AP routing + reconciliation.</t>
        </is>
      </c>
      <c r="O98" s="12" t="inlineStr">
        <is>
          <t>Approve a claim / complete a WO → AP payable raised, paid via AP, sub-ledger ties to GL 2000 (re-performed by the harness).</t>
        </is>
      </c>
      <c r="P98" s="12" t="inlineStr">
        <is>
          <t>AP sub-ledger; reimbursement/maintenance payables</t>
        </is>
      </c>
      <c r="Q98" s="18" t="inlineStr">
        <is>
          <t>Implemented</t>
        </is>
      </c>
    </row>
    <row r="99">
      <c r="A99" s="15" t="inlineStr">
        <is>
          <t>EXP-06</t>
        </is>
      </c>
      <c r="B99" s="16" t="inlineStr">
        <is>
          <t>Expenditure</t>
        </is>
      </c>
      <c r="C99" s="17" t="inlineStr">
        <is>
          <t>Application</t>
        </is>
      </c>
      <c r="D99" s="16" t="inlineStr">
        <is>
          <t>Accounts Payable; Cash</t>
        </is>
      </c>
      <c r="E99" s="16" t="inlineStr">
        <is>
          <t>Vendor payment disbursed without independent approval — one person both books and pays a bill.</t>
        </is>
      </c>
      <c r="F99" s="16" t="inlineStr">
        <is>
          <t>Authorization</t>
        </is>
      </c>
      <c r="G99" s="16" t="inlineStr">
        <is>
          <t>AP disbursement maker-checker — a payment is REQUESTED by a 'creditors' holder and APPROVED by a DIFFERENT user (approvals/gl_close); the bill's paid_amount and the cash-disbursement GL move only on approval. Booking a bill pre-paid in one call is blocked.</t>
        </is>
      </c>
      <c r="H99" s="17" t="inlineStr">
        <is>
          <t>Prev</t>
        </is>
      </c>
      <c r="I99" s="17" t="inlineStr">
        <is>
          <t>Auto+Manual</t>
        </is>
      </c>
      <c r="J99" s="17" t="inlineStr">
        <is>
          <t>Per payment</t>
        </is>
      </c>
      <c r="K99" s="16" t="inlineStr">
        <is>
          <t>AP / Controller</t>
        </is>
      </c>
      <c r="L99" s="17" t="inlineStr">
        <is>
          <t>P10</t>
        </is>
      </c>
      <c r="M99" s="16" t="inlineStr">
        <is>
          <t>finance.service.ts (requestApPayment / approveApPayment requester≠approver / rejectApPayment); finance.controller.ts (creditors requests, approvals|gl_close approves); schema/finance.ts (ap_payments) + migration 0115; cutover/compliance.ts (ToE)</t>
        </is>
      </c>
      <c r="N99" s="16" t="inlineStr">
        <is>
          <t>Inspect AP payment approval routing + SoD guard.</t>
        </is>
      </c>
      <c r="O99" s="16" t="inlineStr">
        <is>
          <t>Sample payments: approver ≠ requester; no cash/GL effect until approved; self-approval → 403 SOD_VIOLATION; pre-paid creation → 400 (re-performed by the harness).</t>
        </is>
      </c>
      <c r="P99" s="16" t="inlineStr">
        <is>
          <t>AP payment approvals</t>
        </is>
      </c>
      <c r="Q99" s="18" t="inlineStr">
        <is>
          <t>Implemented</t>
        </is>
      </c>
    </row>
    <row r="100">
      <c r="A100" s="11" t="inlineStr">
        <is>
          <t>FA-06</t>
        </is>
      </c>
      <c r="B100" s="12" t="inlineStr">
        <is>
          <t>Fixed Assets</t>
        </is>
      </c>
      <c r="C100" s="13" t="inlineStr">
        <is>
          <t>Application</t>
        </is>
      </c>
      <c r="D100" s="12" t="inlineStr">
        <is>
          <t>Property, Plant &amp; Equipment</t>
        </is>
      </c>
      <c r="E100" s="12" t="inlineStr">
        <is>
          <t>Equipment not maintained; maintenance uncontrolled; preventive maintenance missed; maintenance cost mis-stated or not tracked per asset.</t>
        </is>
      </c>
      <c r="F100" s="12" t="inlineStr">
        <is>
          <t>Existence/Valuation</t>
        </is>
      </c>
      <c r="G10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0" s="13" t="inlineStr">
        <is>
          <t>Det</t>
        </is>
      </c>
      <c r="I100" s="13" t="inlineStr">
        <is>
          <t>Automated</t>
        </is>
      </c>
      <c r="J100" s="13" t="inlineStr">
        <is>
          <t>Per WO / per sweep</t>
        </is>
      </c>
      <c r="K100" s="12" t="inlineStr">
        <is>
          <t>Maintenance / FaAccountant</t>
        </is>
      </c>
      <c r="L100" s="13" t="inlineStr">
        <is>
          <t>P13/P16</t>
        </is>
      </c>
      <c r="M100" s="12" t="inlineStr">
        <is>
          <t>eam.service.ts (work orders, PM schedules, runPmDue, meters, WO cost lines, reliability); eam.controller.ts; bi.service.ts (eam_pm_generate); cutover/basics.ts (ToE)</t>
        </is>
      </c>
      <c r="N100" s="12" t="inlineStr">
        <is>
          <t>Inspect WO lifecycle guard + PM due logic; inspect cost-line roll-up into actual cost and reliability KPI computation.</t>
        </is>
      </c>
      <c r="O100" s="12" t="inlineStr">
        <is>
          <t>Raise/complete a WO; PM sweep raises due preventive WOs (time + meter) and is idempotent; cost lines roll up to actual cost and drive the AP posting; reliability KPIs computed (re-performed by the harness).</t>
        </is>
      </c>
      <c r="P100" s="12" t="inlineStr">
        <is>
          <t>Work-order log; PM schedule + sweep run log; WO cost lines; reliability KPI report</t>
        </is>
      </c>
      <c r="Q100" s="18" t="inlineStr">
        <is>
          <t>Implemented</t>
        </is>
      </c>
    </row>
    <row r="101">
      <c r="A101" s="15" t="inlineStr">
        <is>
          <t>INV-01</t>
        </is>
      </c>
      <c r="B101" s="16" t="inlineStr">
        <is>
          <t>Inventory &amp; COGS</t>
        </is>
      </c>
      <c r="C101" s="17" t="inlineStr">
        <is>
          <t>Application</t>
        </is>
      </c>
      <c r="D101" s="16" t="inlineStr">
        <is>
          <t>Inventory; COGS</t>
        </is>
      </c>
      <c r="E101" s="16" t="inlineStr">
        <is>
          <t>Two terminals sell last unit → negative/oversold stock.</t>
        </is>
      </c>
      <c r="F101" s="16" t="inlineStr">
        <is>
          <t>Existence/Valuation</t>
        </is>
      </c>
      <c r="G101" s="16" t="inlineStr">
        <is>
          <t>Bin-stock decrement under FOR UPDATE inside a transaction — concurrent picks serialize (no oversell).</t>
        </is>
      </c>
      <c r="H101" s="17" t="inlineStr">
        <is>
          <t>Prev</t>
        </is>
      </c>
      <c r="I101" s="17" t="inlineStr">
        <is>
          <t>Automated</t>
        </is>
      </c>
      <c r="J101" s="17" t="inlineStr">
        <is>
          <t>Per txn</t>
        </is>
      </c>
      <c r="K101" s="16" t="inlineStr">
        <is>
          <t>Eng Lead / Warehouse</t>
        </is>
      </c>
      <c r="L101" s="17" t="inlineStr">
        <is>
          <t>P10</t>
        </is>
      </c>
      <c r="M101" s="16" t="inlineStr">
        <is>
          <t>wms.service.ts (pick)</t>
        </is>
      </c>
      <c r="N101" s="16" t="inlineStr">
        <is>
          <t>Inspect lock + sufficiency check in tx.</t>
        </is>
      </c>
      <c r="O101" s="16" t="inlineStr">
        <is>
          <t>Concurrent last-unit test → one PICK_SHORT.</t>
        </is>
      </c>
      <c r="P101" s="16" t="inlineStr">
        <is>
          <t>Concurrency test</t>
        </is>
      </c>
      <c r="Q101" s="18" t="inlineStr">
        <is>
          <t>Implemented</t>
        </is>
      </c>
    </row>
    <row r="102">
      <c r="A102" s="11" t="inlineStr">
        <is>
          <t>INV-02</t>
        </is>
      </c>
      <c r="B102" s="12" t="inlineStr">
        <is>
          <t>Inventory &amp; COGS</t>
        </is>
      </c>
      <c r="C102" s="13" t="inlineStr">
        <is>
          <t>Application</t>
        </is>
      </c>
      <c r="D102" s="12" t="inlineStr">
        <is>
          <t>Inventory</t>
        </is>
      </c>
      <c r="E102" s="12" t="inlineStr">
        <is>
          <t>Stock movements not recorded (completeness of perpetual stock).</t>
        </is>
      </c>
      <c r="F102" s="12" t="inlineStr">
        <is>
          <t>Completeness</t>
        </is>
      </c>
      <c r="G102" s="12" t="inlineStr">
        <is>
          <t>Perpetual stock-movement + lot ledger logging on every issue/receipt/return.</t>
        </is>
      </c>
      <c r="H102" s="13" t="inlineStr">
        <is>
          <t>Det</t>
        </is>
      </c>
      <c r="I102" s="13" t="inlineStr">
        <is>
          <t>Automated</t>
        </is>
      </c>
      <c r="J102" s="13" t="inlineStr">
        <is>
          <t>Per txn</t>
        </is>
      </c>
      <c r="K102" s="12" t="inlineStr">
        <is>
          <t>Warehouse</t>
        </is>
      </c>
      <c r="L102" s="13" t="inlineStr">
        <is>
          <t>P13</t>
        </is>
      </c>
      <c r="M102" s="12" t="inlineStr">
        <is>
          <t>stock-ops; custStockLog; lotLedger</t>
        </is>
      </c>
      <c r="N102" s="12" t="inlineStr">
        <is>
          <t>Inspect movement logging.</t>
        </is>
      </c>
      <c r="O102" s="12" t="inlineStr">
        <is>
          <t>Tie sample movements to balances.</t>
        </is>
      </c>
      <c r="P102" s="12" t="inlineStr">
        <is>
          <t>Stock ledger</t>
        </is>
      </c>
      <c r="Q102" s="18" t="inlineStr">
        <is>
          <t>Implemented</t>
        </is>
      </c>
    </row>
    <row r="103">
      <c r="A103" s="15" t="inlineStr">
        <is>
          <t>INV-03</t>
        </is>
      </c>
      <c r="B103" s="16" t="inlineStr">
        <is>
          <t>Inventory &amp; COGS</t>
        </is>
      </c>
      <c r="C103" s="17" t="inlineStr">
        <is>
          <t>Application</t>
        </is>
      </c>
      <c r="D103" s="16" t="inlineStr">
        <is>
          <t>COGS</t>
        </is>
      </c>
      <c r="E103" s="16" t="inlineStr">
        <is>
          <t>COGS misstated; consumption not costed.</t>
        </is>
      </c>
      <c r="F103" s="16" t="inlineStr">
        <is>
          <t>Accuracy</t>
        </is>
      </c>
      <c r="G103" s="16" t="inlineStr">
        <is>
          <t>Inventory costing → COGS posting on consumption; recipe/BOM deduction + reversal on return.</t>
        </is>
      </c>
      <c r="H103" s="17" t="inlineStr">
        <is>
          <t>Auto</t>
        </is>
      </c>
      <c r="I103" s="17" t="inlineStr">
        <is>
          <t>Automated</t>
        </is>
      </c>
      <c r="J103" s="17" t="inlineStr">
        <is>
          <t>Per txn</t>
        </is>
      </c>
      <c r="K103" s="16" t="inlineStr">
        <is>
          <t>Controller</t>
        </is>
      </c>
      <c r="L103" s="17" t="inlineStr">
        <is>
          <t>P10</t>
        </is>
      </c>
      <c r="M103" s="16" t="inlineStr">
        <is>
          <t>costing; menu/recipe.service.ts</t>
        </is>
      </c>
      <c r="N103" s="16" t="inlineStr">
        <is>
          <t>Walkthrough consumption → COGS JE.</t>
        </is>
      </c>
      <c r="O103" s="16" t="inlineStr">
        <is>
          <t>Tie sample consumption to COGS.</t>
        </is>
      </c>
      <c r="P103" s="16" t="inlineStr">
        <is>
          <t>COGS tie-out</t>
        </is>
      </c>
      <c r="Q103" s="18" t="inlineStr">
        <is>
          <t>Implemented</t>
        </is>
      </c>
    </row>
    <row r="104">
      <c r="A104" s="11" t="inlineStr">
        <is>
          <t>INV-04</t>
        </is>
      </c>
      <c r="B104" s="12" t="inlineStr">
        <is>
          <t>Inventory &amp; COGS</t>
        </is>
      </c>
      <c r="C104" s="13" t="inlineStr">
        <is>
          <t>Application</t>
        </is>
      </c>
      <c r="D104" s="12" t="inlineStr">
        <is>
          <t>Inventory</t>
        </is>
      </c>
      <c r="E104" s="12" t="inlineStr">
        <is>
          <t>Book vs physical stock diverges; counts adjusted without independent review.</t>
        </is>
      </c>
      <c r="F104" s="12" t="inlineStr">
        <is>
          <t>Existence</t>
        </is>
      </c>
      <c r="G10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4" s="13" t="inlineStr">
        <is>
          <t>Det</t>
        </is>
      </c>
      <c r="I104" s="13" t="inlineStr">
        <is>
          <t>Auto+Manual</t>
        </is>
      </c>
      <c r="J104" s="13" t="inlineStr">
        <is>
          <t>Periodic</t>
        </is>
      </c>
      <c r="K104" s="12" t="inlineStr">
        <is>
          <t>Warehouse Mgr</t>
        </is>
      </c>
      <c r="L104" s="13" t="inlineStr">
        <is>
          <t>P16</t>
        </is>
      </c>
      <c r="M104" s="12" t="inlineStr">
        <is>
          <t>stock-ops/stock-ops.service.ts postStocktake (counter ≠ poster gate, SOD_SELF_APPROVAL); cutover/stock-ops.ts (ToE)</t>
        </is>
      </c>
      <c r="N104" s="12" t="inlineStr">
        <is>
          <t>Inspect the count → variance → independent-review/post flow.</t>
        </is>
      </c>
      <c r="O104" s="12" t="inlineStr">
        <is>
          <t>Re-perform: the counter posting their own stocktake is blocked (403 SOD_SELF_APPROVAL); an independent reviewer posts the variance.</t>
        </is>
      </c>
      <c r="P104" s="12" t="inlineStr">
        <is>
          <t>Variance review maker-checker ToE</t>
        </is>
      </c>
      <c r="Q104" s="18" t="inlineStr">
        <is>
          <t>Implemented</t>
        </is>
      </c>
    </row>
    <row r="105">
      <c r="A105" s="15" t="inlineStr">
        <is>
          <t>INV-05</t>
        </is>
      </c>
      <c r="B105" s="16" t="inlineStr">
        <is>
          <t>Inventory &amp; COGS</t>
        </is>
      </c>
      <c r="C105" s="17" t="inlineStr">
        <is>
          <t>Application</t>
        </is>
      </c>
      <c r="D105" s="16" t="inlineStr">
        <is>
          <t>Inventory</t>
        </is>
      </c>
      <c r="E105" s="16" t="inlineStr">
        <is>
          <t>A branch stock-out is fulfilled by BUYING new stock while a sibling branch holds idle surplus (capital tied up / over-ordering); or stock is moved between branches without attribution or segregation of duties.</t>
        </is>
      </c>
      <c r="F105" s="16" t="inlineStr">
        <is>
          <t>Existence/Accuracy/Authorization</t>
        </is>
      </c>
      <c r="G10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5" s="17" t="inlineStr">
        <is>
          <t>Prev/Det</t>
        </is>
      </c>
      <c r="I105" s="17" t="inlineStr">
        <is>
          <t>Auto+Manual</t>
        </is>
      </c>
      <c r="J105" s="17" t="inlineStr">
        <is>
          <t>Per replenishment run</t>
        </is>
      </c>
      <c r="K105" s="16" t="inlineStr">
        <is>
          <t>Planner / Warehouse / Procurement</t>
        </is>
      </c>
      <c r="L105" s="17" t="inlineStr">
        <is>
          <t>P10/P13</t>
        </is>
      </c>
      <c r="M105" s="16" t="inlineStr">
        <is>
          <t>wms/replenishment.service.ts (suggest transfer/buy split, autoTransfer, autoPr); wms.controller.ts (auto-transfer @wh_custody vs auto-pr @procurement); schema branch_stock + item_supplier + migration 0130; cutover/wms.ts (ToE)</t>
        </is>
      </c>
      <c r="N105" s="16" t="inlineStr">
        <is>
          <t>Inspect transfer-before-buy allocation, branch attribution, and leg segregation.</t>
        </is>
      </c>
      <c r="O10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5" s="16" t="inlineStr">
        <is>
          <t>Branch replenishment run log; inter-branch transfer log; residual PR</t>
        </is>
      </c>
      <c r="Q105" s="18" t="inlineStr">
        <is>
          <t>Implemented</t>
        </is>
      </c>
    </row>
    <row r="106">
      <c r="A106" s="11" t="inlineStr">
        <is>
          <t>INV-06</t>
        </is>
      </c>
      <c r="B106" s="12" t="inlineStr">
        <is>
          <t>Inventory &amp; COGS</t>
        </is>
      </c>
      <c r="C106" s="13" t="inlineStr">
        <is>
          <t>Application</t>
        </is>
      </c>
      <c r="D106" s="12" t="inlineStr">
        <is>
          <t>Inventory; COGS</t>
        </is>
      </c>
      <c r="E106" s="12" t="inlineStr">
        <is>
          <t>Perpetual stock VALUE drifts from the GL inventory control account; receipts/issues/adjustments uncosted or not posted to GL → inventory &amp; COGS misstated.</t>
        </is>
      </c>
      <c r="F106" s="12" t="inlineStr">
        <is>
          <t>Existence/Valuation/Completeness</t>
        </is>
      </c>
      <c r="G10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6" s="13" t="inlineStr">
        <is>
          <t>Prev+Det</t>
        </is>
      </c>
      <c r="I106" s="13" t="inlineStr">
        <is>
          <t>Automated</t>
        </is>
      </c>
      <c r="J106" s="13" t="inlineStr">
        <is>
          <t>Per txn</t>
        </is>
      </c>
      <c r="K106" s="12" t="inlineStr">
        <is>
          <t>Controller / Warehouse</t>
        </is>
      </c>
      <c r="L106" s="13" t="inlineStr">
        <is>
          <t>P10</t>
        </is>
      </c>
      <c r="M106" s="12" t="inlineStr">
        <is>
          <t>inventory-ledger.service.ts; stock-ops.service.ts (bridge); 0131 inv_moves/inv_balances; 0132 inv_cost_layers (FIFO/FEFO); ledger.postEntry</t>
        </is>
      </c>
      <c r="N106" s="12" t="inlineStr">
        <is>
          <t>Walkthrough receipt→issue→adjust + a stock-ops issue/transfer/stocktake on a tracked item, in both moving-avg and FEFO: inspect cost recompute / layer consumption, the balanced JE, and reconcile().</t>
        </is>
      </c>
      <c r="O106" s="12" t="inlineStr">
        <is>
          <t>Sample receipt/issue/adjust + stock-ops moves → sub-ledger value ties to GL 1200 (reconciled); FEFO COGS = actual layer cost; over-issue blocked; duplicate ref deduped.</t>
        </is>
      </c>
      <c r="P106" s="12" t="inlineStr">
        <is>
          <t>Reconciliation report; layers report; basics + compliance + stock-ops harness</t>
        </is>
      </c>
      <c r="Q106" s="18" t="inlineStr">
        <is>
          <t>Implemented</t>
        </is>
      </c>
    </row>
    <row r="107">
      <c r="A107" s="15" t="inlineStr">
        <is>
          <t>INV-07</t>
        </is>
      </c>
      <c r="B107" s="16" t="inlineStr">
        <is>
          <t>Inventory &amp; COGS</t>
        </is>
      </c>
      <c r="C107" s="17" t="inlineStr">
        <is>
          <t>Application</t>
        </is>
      </c>
      <c r="D107" s="16" t="inlineStr">
        <is>
          <t>Inventory; COGS</t>
        </is>
      </c>
      <c r="E107" s="16" t="inlineStr">
        <is>
          <t>Stock written off the books without independent review — one person posts a shrinkage/spoilage write-off to conceal a shortage they caused (theft of inventory).</t>
        </is>
      </c>
      <c r="F107" s="16" t="inlineStr">
        <is>
          <t>Authorization</t>
        </is>
      </c>
      <c r="G10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7" s="17" t="inlineStr">
        <is>
          <t>Prev</t>
        </is>
      </c>
      <c r="I107" s="17" t="inlineStr">
        <is>
          <t>Automated</t>
        </is>
      </c>
      <c r="J107" s="17" t="inlineStr">
        <is>
          <t>Per write-off</t>
        </is>
      </c>
      <c r="K107" s="16" t="inlineStr">
        <is>
          <t>Warehouse / Controller</t>
        </is>
      </c>
      <c r="L107" s="17" t="inlineStr">
        <is>
          <t>P10</t>
        </is>
      </c>
      <c r="M107" s="16" t="inlineStr">
        <is>
          <t>inventory-ledger.service.ts requestWriteOff/approveWriteOff/rejectWriteOff/listWriteOffs; inventory-ledger.controller.ts (writeoffs/:id/approve|reject, wh_adjust); schema/inventory.ts inv_writeoff_requests + migration 0136; cutover/basics.ts + compliance.ts (ToE)</t>
        </is>
      </c>
      <c r="N107" s="16" t="inlineStr">
        <is>
          <t>Inspect the request→approve flow + the approver≠requester check + that the request posts nothing until approval.</t>
        </is>
      </c>
      <c r="O107" s="16" t="inlineStr">
        <is>
          <t>Re-perform: request a write-off (on-hand unchanged), attempt self-approve (SOD_VIOLATION), approve as a different user; confirm the variance JE + balance move only after approval (re-performed by the harnesses).</t>
        </is>
      </c>
      <c r="P107" s="16" t="inlineStr">
        <is>
          <t>Write-off request register + SoD test</t>
        </is>
      </c>
      <c r="Q107" s="18" t="inlineStr">
        <is>
          <t>Implemented</t>
        </is>
      </c>
    </row>
    <row r="108">
      <c r="A108" s="11" t="inlineStr">
        <is>
          <t>INV-08</t>
        </is>
      </c>
      <c r="B108" s="12" t="inlineStr">
        <is>
          <t>Inventory &amp; COGS</t>
        </is>
      </c>
      <c r="C108" s="13" t="inlineStr">
        <is>
          <t>Application</t>
        </is>
      </c>
      <c r="D108" s="12" t="inlineStr">
        <is>
          <t>Inventory</t>
        </is>
      </c>
      <c r="E108" s="12" t="inlineStr">
        <is>
          <t>Stock mis-located or stored beyond a bin's physical capacity — overflow held in an unrecorded location, breaking the perpetual location records and concealing where inventory physically is (loss / shrink risk; inaccurate pick paths).</t>
        </is>
      </c>
      <c r="F108" s="12" t="inlineStr">
        <is>
          <t>Completeness; Accuracy</t>
        </is>
      </c>
      <c r="G10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8" s="13" t="inlineStr">
        <is>
          <t>Prev</t>
        </is>
      </c>
      <c r="I108" s="13" t="inlineStr">
        <is>
          <t>Automated</t>
        </is>
      </c>
      <c r="J108" s="13" t="inlineStr">
        <is>
          <t>Per putaway</t>
        </is>
      </c>
      <c r="K108" s="12" t="inlineStr">
        <is>
          <t>Warehouse</t>
        </is>
      </c>
      <c r="L108" s="13" t="inlineStr">
        <is>
          <t>P10</t>
        </is>
      </c>
      <c r="M108" s="12" t="inlineStr">
        <is>
          <t>wms.service.ts putaway (capacity guard) / warehouseLayout / locateItem / setBinLayout; wms.controller.ts (layout, locate, bins/:code/layout); schema/wms.ts bins.pos_*/dim_*/capacity + migration 0138; cutover/wms.ts (ToE)</t>
        </is>
      </c>
      <c r="N108" s="12" t="inlineStr">
        <is>
          <t>Inspect the putaway capacity guard + the layout utilisation/locate read model.</t>
        </is>
      </c>
      <c r="O108" s="12" t="inlineStr">
        <is>
          <t>Re-perform: set a bin capacity, putaway within capacity (accepted), putaway beyond it (422 BIN_CAPACITY_EXCEEDED, stock unchanged); confirm layout reports utilisation and locate finds the item (re-performed by the wms harness).</t>
        </is>
      </c>
      <c r="P108" s="12" t="inlineStr">
        <is>
          <t>Bin capacity test + layout/locate read</t>
        </is>
      </c>
      <c r="Q108" s="18" t="inlineStr">
        <is>
          <t>Implemented</t>
        </is>
      </c>
    </row>
    <row r="109">
      <c r="A109" s="15" t="inlineStr">
        <is>
          <t>INV-09</t>
        </is>
      </c>
      <c r="B109" s="16" t="inlineStr">
        <is>
          <t>Inventory &amp; COGS</t>
        </is>
      </c>
      <c r="C109" s="17" t="inlineStr">
        <is>
          <t>Application</t>
        </is>
      </c>
      <c r="D109" s="16" t="inlineStr">
        <is>
          <t>Inventory</t>
        </is>
      </c>
      <c r="E109" s="16" t="inlineStr">
        <is>
          <t>Available-to-promise mis-stated by leaked stock reservations — allocations that are never released or consumed accumulate so ATP drifts permanently low (false stock-outs), or a reservation oversells stock it never had.</t>
        </is>
      </c>
      <c r="F109" s="16" t="inlineStr">
        <is>
          <t>Accuracy; Completeness</t>
        </is>
      </c>
      <c r="G10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9" s="17" t="inlineStr">
        <is>
          <t>Prev</t>
        </is>
      </c>
      <c r="I109" s="17" t="inlineStr">
        <is>
          <t>Automated</t>
        </is>
      </c>
      <c r="J109" s="17" t="inlineStr">
        <is>
          <t>Per reservation</t>
        </is>
      </c>
      <c r="K109" s="16" t="inlineStr">
        <is>
          <t>Planner / Warehouse</t>
        </is>
      </c>
      <c r="L109" s="17" t="inlineStr">
        <is>
          <t>P10</t>
        </is>
      </c>
      <c r="M10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9" s="16" t="inlineStr">
        <is>
          <t>Inspect the reservation lifecycle + that ATP nets only Open + the idempotency/over-reserve guards.</t>
        </is>
      </c>
      <c r="O109" s="16" t="inlineStr">
        <is>
          <t>Re-perform: allocate (ATP drops), re-allocate same ref (idempotent -- no leak), over-reserve (422 INSUFFICIENT_ATP), release (frees ATP), fulfill + on-hand drop (ATP-neutral) (re-performed by the costing harness).</t>
        </is>
      </c>
      <c r="P109" s="16" t="inlineStr">
        <is>
          <t>Reservation register + ATP drift test</t>
        </is>
      </c>
      <c r="Q109" s="18" t="inlineStr">
        <is>
          <t>Implemented</t>
        </is>
      </c>
    </row>
    <row r="110">
      <c r="A110" s="11" t="inlineStr">
        <is>
          <t>INV-10</t>
        </is>
      </c>
      <c r="B110" s="12" t="inlineStr">
        <is>
          <t>Inventory &amp; COGS</t>
        </is>
      </c>
      <c r="C110" s="13" t="inlineStr">
        <is>
          <t>Application</t>
        </is>
      </c>
      <c r="D110" s="12" t="inlineStr">
        <is>
          <t>Inventory; Waste/scrap loss</t>
        </is>
      </c>
      <c r="E110" s="12" t="inlineStr">
        <is>
          <t>Kitchen/ingredient waste is invisible — spoilage/over-production is not captured, so food-cost loss can't be measured or controlled; OR a perpetual-tracked item is written off as 'waste' to bypass the independent write-off approval (INV-07).</t>
        </is>
      </c>
      <c r="F110" s="12" t="inlineStr">
        <is>
          <t>Completeness/Accuracy/Authorization</t>
        </is>
      </c>
      <c r="G11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0" s="13" t="inlineStr">
        <is>
          <t>Det/Prev</t>
        </is>
      </c>
      <c r="I110" s="13" t="inlineStr">
        <is>
          <t>Automated</t>
        </is>
      </c>
      <c r="J110" s="13" t="inlineStr">
        <is>
          <t>Per waste event</t>
        </is>
      </c>
      <c r="K110" s="12" t="inlineStr">
        <is>
          <t>Kitchen / Warehouse / Controller</t>
        </is>
      </c>
      <c r="L110" s="13" t="inlineStr">
        <is>
          <t>P10/P13</t>
        </is>
      </c>
      <c r="M110" s="12" t="inlineStr">
        <is>
          <t>inventory/waste.service.ts logWaste (perpetual-item guard, GL 5810/1200, stock decrement) + list (by-reason analytics); waste.controller.ts (/api/inventory/waste, warehouse/pos/order_mgt); schema/portal.ts waste_log + migration 0149; cutover/waste.ts (ToE)</t>
        </is>
      </c>
      <c r="N110" s="12" t="inlineStr">
        <is>
          <t>Inspect the reason-coded capture + the 5810/1200 GL on costed waste + the perpetual-item USE_WRITEOFF boundary + the by-reason analytics.</t>
        </is>
      </c>
      <c r="O110" s="12" t="inlineStr">
        <is>
          <t>Re-perform: costed waste posts Dr 5810 / Cr 1200 + decrements stock; uncosted waste logs with no GL; a perpetual-tracked item is rejected (USE_WRITEOFF); by-reason totals reconcile; trial balance balanced (re-performed by the waste harness).</t>
        </is>
      </c>
      <c r="P110" s="12" t="inlineStr">
        <is>
          <t>Waste log + by-reason food-cost analytics</t>
        </is>
      </c>
      <c r="Q110" s="18" t="inlineStr">
        <is>
          <t>Implemented</t>
        </is>
      </c>
    </row>
    <row r="111">
      <c r="A111" s="15" t="inlineStr">
        <is>
          <t>INV-11</t>
        </is>
      </c>
      <c r="B111" s="16" t="inlineStr">
        <is>
          <t>Inventory &amp; COGS</t>
        </is>
      </c>
      <c r="C111" s="17" t="inlineStr">
        <is>
          <t>Application</t>
        </is>
      </c>
      <c r="D111" s="16" t="inlineStr">
        <is>
          <t>Inventory; COGS</t>
        </is>
      </c>
      <c r="E111" s="16" t="inlineStr">
        <is>
          <t>Theoretical-vs-actual food-cost variance is a single undifferentiated number — a manager sees that COGS ran over the recipe but not WHY or WHERE, so the over-usage can't be acted on (over-portioning vs spoilage vs theft go unaddressed and recur).</t>
        </is>
      </c>
      <c r="F111" s="16" t="inlineStr">
        <is>
          <t>Accuracy/Completeness</t>
        </is>
      </c>
      <c r="G11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1" s="17" t="inlineStr">
        <is>
          <t>Det</t>
        </is>
      </c>
      <c r="I111" s="17" t="inlineStr">
        <is>
          <t>Auto+Manual</t>
        </is>
      </c>
      <c r="J111" s="17" t="inlineStr">
        <is>
          <t>Per EOD count / weekly review</t>
        </is>
      </c>
      <c r="K111" s="16" t="inlineStr">
        <is>
          <t>F&amp;B Controller / Kitchen Mgr</t>
        </is>
      </c>
      <c r="L111" s="17" t="inlineStr">
        <is>
          <t>P10/P13</t>
        </is>
      </c>
      <c r="M11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1" s="16" t="inlineStr">
        <is>
          <t>Inspect the reason_code enum capture, the valued by_reason/by_station roll-ups, the anomaly bands, and tenant isolation.</t>
        </is>
      </c>
      <c r="O111" s="16" t="inlineStr">
        <is>
          <t>Re-perform: seed counts with reason/station; the variance values per ingredient (NOODLE +฿30 High), nets +30/−50 to −20, by_reason PORTIONING +30 / WASTE −50, by_station Sauce +30 (20%); another tenant's counts are excluded (re-performed by the restaurant harness).</t>
        </is>
      </c>
      <c r="P111" s="16" t="inlineStr">
        <is>
          <t>Reason-coded variance roll-up + by-station test</t>
        </is>
      </c>
      <c r="Q111" s="18" t="inlineStr">
        <is>
          <t>Implemented</t>
        </is>
      </c>
    </row>
    <row r="112">
      <c r="A112" s="11" t="inlineStr">
        <is>
          <t>INV-12</t>
        </is>
      </c>
      <c r="B112" s="12" t="inlineStr">
        <is>
          <t>Inventory &amp; COGS</t>
        </is>
      </c>
      <c r="C112" s="13" t="inlineStr">
        <is>
          <t>Application</t>
        </is>
      </c>
      <c r="D112" s="12" t="inlineStr">
        <is>
          <t>Inventory</t>
        </is>
      </c>
      <c r="E112" s="12" t="inlineStr">
        <is>
          <t>Per-branch reorder points are STATIC numbers — set once and never revisited — so a branch whose run-rate has grown carries too small a buffer and stocks out (lost sales), while a slow branch over-orders and ties up cash/spoils stock; neither is flagged.</t>
        </is>
      </c>
      <c r="F112" s="12" t="inlineStr">
        <is>
          <t>Accuracy/Completeness</t>
        </is>
      </c>
      <c r="G11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2" s="13" t="inlineStr">
        <is>
          <t>Det</t>
        </is>
      </c>
      <c r="I112" s="13" t="inlineStr">
        <is>
          <t>Auto+Manual</t>
        </is>
      </c>
      <c r="J112" s="13" t="inlineStr">
        <is>
          <t>Periodic / per planning cycle</t>
        </is>
      </c>
      <c r="K112" s="12" t="inlineStr">
        <is>
          <t>Planner / Supply Chain</t>
        </is>
      </c>
      <c r="L112" s="13" t="inlineStr">
        <is>
          <t>P13</t>
        </is>
      </c>
      <c r="M11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2" s="12" t="inlineStr">
        <is>
          <t>Inspect the avg-daily-usage derivation from consumption logs, the lead-time x safety reorder-point formula, the under_buffered flag, and the planner-gated apply.</t>
        </is>
      </c>
      <c r="O112" s="12" t="inlineStr">
        <is>
          <t>Re-perform: seed branch consumption (10/day) at lead 3 -&gt; recommend ROP 38 (under-buffered vs static 10); apply writes 38 onto branch_stock; tenant-isolated (re-performed by the wms harness).</t>
        </is>
      </c>
      <c r="P112" s="12" t="inlineStr">
        <is>
          <t>Par recommendation list + apply test</t>
        </is>
      </c>
      <c r="Q112" s="18" t="inlineStr">
        <is>
          <t>Implemented</t>
        </is>
      </c>
    </row>
    <row r="113">
      <c r="A113" s="15" t="inlineStr">
        <is>
          <t>INV-13</t>
        </is>
      </c>
      <c r="B113" s="16" t="inlineStr">
        <is>
          <t>Inventory &amp; COGS</t>
        </is>
      </c>
      <c r="C113" s="17" t="inlineStr">
        <is>
          <t>Application</t>
        </is>
      </c>
      <c r="D113" s="16" t="inlineStr">
        <is>
          <t>Inventory; Project WIP</t>
        </is>
      </c>
      <c r="E11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3" s="16" t="inlineStr">
        <is>
          <t>Accuracy/Completeness/Existence</t>
        </is>
      </c>
      <c r="G11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3" s="17" t="inlineStr">
        <is>
          <t>Prev</t>
        </is>
      </c>
      <c r="I113" s="17" t="inlineStr">
        <is>
          <t>Automated</t>
        </is>
      </c>
      <c r="J113" s="17" t="inlineStr">
        <is>
          <t>Per reservation / issue</t>
        </is>
      </c>
      <c r="K113" s="16" t="inlineStr">
        <is>
          <t>Warehouse / ProjectController</t>
        </is>
      </c>
      <c r="L113" s="17" t="inlineStr">
        <is>
          <t>P13</t>
        </is>
      </c>
      <c r="M11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3" s="16" t="inlineStr">
        <is>
          <t>Inspect the available = on_hand − held computation, the FOR UPDATE atomicity, the release/consume lifecycle, and the Dr 1260(project)/Cr 1200 issue-to-project posting.</t>
        </is>
      </c>
      <c r="O11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3" s="16" t="inlineStr">
        <is>
          <t>Available-to-issue (on_hand − held); the issue-to-project WIP posting</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CON-01</t>
        </is>
      </c>
      <c r="B205" s="16" t="inlineStr">
        <is>
          <t>Consolidation &amp; FX</t>
        </is>
      </c>
      <c r="C205" s="17" t="inlineStr">
        <is>
          <t>Application</t>
        </is>
      </c>
      <c r="D205" s="16" t="inlineStr">
        <is>
          <t>Consolidation</t>
        </is>
      </c>
      <c r="E205" s="16" t="inlineStr">
        <is>
          <t>Group consolidation mis-stated (ownership/currency).</t>
        </is>
      </c>
      <c r="F205" s="16" t="inlineStr">
        <is>
          <t>Accuracy</t>
        </is>
      </c>
      <c r="G205" s="16" t="inlineStr">
        <is>
          <t>Consolidation run (ownership %, entity currency) gated by 'approvals'.</t>
        </is>
      </c>
      <c r="H205" s="17" t="inlineStr">
        <is>
          <t>Auto+Manual</t>
        </is>
      </c>
      <c r="I205" s="17" t="inlineStr">
        <is>
          <t>Period</t>
        </is>
      </c>
      <c r="J205" s="17" t="inlineStr">
        <is>
          <t>Period</t>
        </is>
      </c>
      <c r="K205" s="16" t="inlineStr">
        <is>
          <t>Group Controller</t>
        </is>
      </c>
      <c r="L205" s="17" t="inlineStr">
        <is>
          <t>P10</t>
        </is>
      </c>
      <c r="M205" s="16" t="inlineStr">
        <is>
          <t>consolidation.service.ts (runConsolidation @Permissions approvals)</t>
        </is>
      </c>
      <c r="N205" s="16" t="inlineStr">
        <is>
          <t>Inspect consolidation logic + gate.</t>
        </is>
      </c>
      <c r="O205" s="16" t="inlineStr">
        <is>
          <t>Sample period: consolidated TB ties to entities.</t>
        </is>
      </c>
      <c r="P205" s="16" t="inlineStr">
        <is>
          <t>Consol TB</t>
        </is>
      </c>
      <c r="Q205" s="18" t="inlineStr">
        <is>
          <t>Implemented</t>
        </is>
      </c>
    </row>
    <row r="206">
      <c r="A206" s="11" t="inlineStr">
        <is>
          <t>CON-02</t>
        </is>
      </c>
      <c r="B206" s="12" t="inlineStr">
        <is>
          <t>Consolidation &amp; FX</t>
        </is>
      </c>
      <c r="C206" s="13" t="inlineStr">
        <is>
          <t>Application</t>
        </is>
      </c>
      <c r="D206" s="12" t="inlineStr">
        <is>
          <t>FX gain/loss</t>
        </is>
      </c>
      <c r="E206" s="12" t="inlineStr">
        <is>
          <t>FX exposures not revalued at period-end.</t>
        </is>
      </c>
      <c r="F206" s="12" t="inlineStr">
        <is>
          <t>Valuation</t>
        </is>
      </c>
      <c r="G206" s="12" t="inlineStr">
        <is>
          <t>FX revaluation at period-end rates; unrealized FX posted (acct 5400).</t>
        </is>
      </c>
      <c r="H206" s="13" t="inlineStr">
        <is>
          <t>Auto+Manual</t>
        </is>
      </c>
      <c r="I206" s="13" t="inlineStr">
        <is>
          <t>Period-end</t>
        </is>
      </c>
      <c r="J206" s="13" t="inlineStr">
        <is>
          <t>Period</t>
        </is>
      </c>
      <c r="K206" s="12" t="inlineStr">
        <is>
          <t>Controller</t>
        </is>
      </c>
      <c r="L206" s="13" t="inlineStr">
        <is>
          <t>P10</t>
        </is>
      </c>
      <c r="M206" s="12" t="inlineStr">
        <is>
          <t>fx.service.ts (revalue / unrealized report)</t>
        </is>
      </c>
      <c r="N206" s="12" t="inlineStr">
        <is>
          <t>Inspect reval logic + rates.</t>
        </is>
      </c>
      <c r="O206" s="12" t="inlineStr">
        <is>
          <t>Recompute reval on sample balances.</t>
        </is>
      </c>
      <c r="P206" s="12" t="inlineStr">
        <is>
          <t>FX reval JE</t>
        </is>
      </c>
      <c r="Q206" s="18" t="inlineStr">
        <is>
          <t>Implemented</t>
        </is>
      </c>
    </row>
    <row r="207">
      <c r="A207" s="15" t="inlineStr">
        <is>
          <t>CON-03</t>
        </is>
      </c>
      <c r="B207" s="16" t="inlineStr">
        <is>
          <t>Consolidation &amp; FX</t>
        </is>
      </c>
      <c r="C207" s="17" t="inlineStr">
        <is>
          <t>Application</t>
        </is>
      </c>
      <c r="D207" s="16" t="inlineStr">
        <is>
          <t>Consolidation</t>
        </is>
      </c>
      <c r="E207" s="16" t="inlineStr">
        <is>
          <t>Intercompany balances/transactions are not eliminated on consolidation, OR eliminations are mis-stated, so the consolidated group trial balance does not balance and group financials are overstated (IC double-counted).</t>
        </is>
      </c>
      <c r="F207" s="16" t="inlineStr">
        <is>
          <t>Accuracy/Completeness</t>
        </is>
      </c>
      <c r="G20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7" s="17" t="inlineStr">
        <is>
          <t>Prev</t>
        </is>
      </c>
      <c r="I207" s="17" t="inlineStr">
        <is>
          <t>Auto+Manual</t>
        </is>
      </c>
      <c r="J207" s="17" t="inlineStr">
        <is>
          <t>Period</t>
        </is>
      </c>
      <c r="K207" s="16" t="inlineStr">
        <is>
          <t>Group Controller</t>
        </is>
      </c>
      <c r="L207" s="17" t="inlineStr">
        <is>
          <t>P10</t>
        </is>
      </c>
      <c r="M20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7" s="16" t="inlineStr">
        <is>
          <t>Inspect the combine→eliminate→balance flow, the CONSOL_UNBALANCED guard, and the run→post approver≠runner check.</t>
        </is>
      </c>
      <c r="O207" s="16" t="inlineStr">
        <is>
          <t>Re-perform: run a group consolidation, confirm IC 1150/2150 eliminate and the consolidated TB balances; attempt self-post (SELF_POST); post as a different user (Posted); re-run the posted period (ALREADY_POSTED). Re-performed by the consolidation harness.</t>
        </is>
      </c>
      <c r="P207" s="16" t="inlineStr">
        <is>
          <t>Consolidated TB + elimination lines + post log</t>
        </is>
      </c>
      <c r="Q207" s="18" t="inlineStr">
        <is>
          <t>Implemented</t>
        </is>
      </c>
    </row>
    <row r="208">
      <c r="A208" s="11" t="inlineStr">
        <is>
          <t>CON-04</t>
        </is>
      </c>
      <c r="B208" s="12" t="inlineStr">
        <is>
          <t>Consolidation &amp; FX</t>
        </is>
      </c>
      <c r="C208" s="13" t="inlineStr">
        <is>
          <t>Application</t>
        </is>
      </c>
      <c r="D208" s="12" t="inlineStr">
        <is>
          <t>All (segment disclosure)</t>
        </is>
      </c>
      <c r="E208" s="12" t="inlineStr">
        <is>
          <t>Segment (branch/project/department) operating results are not reported, so IFRS 8 segment disclosure is incomplete or inaccurate and management/investors cannot see results by reportable segment.</t>
        </is>
      </c>
      <c r="F208" s="12" t="inlineStr">
        <is>
          <t>Presentation/Disclosure</t>
        </is>
      </c>
      <c r="G20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8" s="13" t="inlineStr">
        <is>
          <t>Det</t>
        </is>
      </c>
      <c r="I208" s="13" t="inlineStr">
        <is>
          <t>Auto+Manual</t>
        </is>
      </c>
      <c r="J208" s="13" t="inlineStr">
        <is>
          <t>Period</t>
        </is>
      </c>
      <c r="K208" s="12" t="inlineStr">
        <is>
          <t>Group Controller</t>
        </is>
      </c>
      <c r="L208" s="13" t="inlineStr">
        <is>
          <t>P10</t>
        </is>
      </c>
      <c r="M208" s="12" t="inlineStr">
        <is>
          <t>consolidation.service.ts defineSegment/listSegments/segmentReport; consolidation.controller.ts (segments, segment-report @exec); schema/consolidation.ts segment_definitions + migration 0170; cutover/consolidation.ts (ToE)</t>
        </is>
      </c>
      <c r="N208" s="12" t="inlineStr">
        <is>
          <t>Inspect the segment mapping + the dimension-grouped P&amp;L aggregation.</t>
        </is>
      </c>
      <c r="O208" s="12" t="inlineStr">
        <is>
          <t>Re-perform: define a segment over branches, run the segment report for a period, confirm revenue/expense/net tie to the underlying dimensioned postings. Re-performed by the consolidation harness.</t>
        </is>
      </c>
      <c r="P208" s="12" t="inlineStr">
        <is>
          <t>Segment P&amp;L report</t>
        </is>
      </c>
      <c r="Q208" s="18" t="inlineStr">
        <is>
          <t>Implemented</t>
        </is>
      </c>
    </row>
    <row r="209">
      <c r="A209" s="15" t="inlineStr">
        <is>
          <t>FX-04</t>
        </is>
      </c>
      <c r="B209" s="16" t="inlineStr">
        <is>
          <t>Consolidation &amp; FX</t>
        </is>
      </c>
      <c r="C209" s="17" t="inlineStr">
        <is>
          <t>Application</t>
        </is>
      </c>
      <c r="D209" s="16" t="inlineStr">
        <is>
          <t>FX gain/loss; Revenue; AR/AP</t>
        </is>
      </c>
      <c r="E209" s="16" t="inlineStr">
        <is>
          <t>A wrong manually-entered FX rate (fat-fingered, e.g. USD 36 keyed as 63) flows straight into a period-end revaluation JE and the unrealized-FX report with no independent review — mis-stating earnings/equity and FX-translated balances.</t>
        </is>
      </c>
      <c r="F209" s="16" t="inlineStr">
        <is>
          <t>Accuracy/Valuation</t>
        </is>
      </c>
      <c r="G20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9" s="17" t="inlineStr">
        <is>
          <t>Prev</t>
        </is>
      </c>
      <c r="I209" s="17" t="inlineStr">
        <is>
          <t>Automated</t>
        </is>
      </c>
      <c r="J209" s="17" t="inlineStr">
        <is>
          <t>Per rate</t>
        </is>
      </c>
      <c r="K209" s="16" t="inlineStr">
        <is>
          <t>Controller / Treasury</t>
        </is>
      </c>
      <c r="L209" s="17" t="inlineStr">
        <is>
          <t>P10</t>
        </is>
      </c>
      <c r="M20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9" s="16" t="inlineStr">
        <is>
          <t>Inspect the request→approve flow + the approver≠requester check + that revaluation/reporting resolve Approved rates only.</t>
        </is>
      </c>
      <c r="O209" s="16" t="inlineStr">
        <is>
          <t>Re-perform: enter a manual rate (PendingApproval), confirm revalue is blocked NO_RATE while pending, attempt self-approve (SOD_VIOLATION), approve as a different user, then revalue succeeds (re-performed by the fxreval harness).</t>
        </is>
      </c>
      <c r="P209" s="16" t="inlineStr">
        <is>
          <t>FX rate approval log + SoD test</t>
        </is>
      </c>
      <c r="Q209" s="18" t="inlineStr">
        <is>
          <t>Implemented</t>
        </is>
      </c>
    </row>
    <row r="210">
      <c r="A210" s="11" t="inlineStr">
        <is>
          <t>BUD-01</t>
        </is>
      </c>
      <c r="B210" s="12" t="inlineStr">
        <is>
          <t>Budgeting &amp; Planning</t>
        </is>
      </c>
      <c r="C210" s="13" t="inlineStr">
        <is>
          <t>Application</t>
        </is>
      </c>
      <c r="D210" s="12" t="inlineStr">
        <is>
          <t>Budget; All (variance reporting)</t>
        </is>
      </c>
      <c r="E21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0" s="12" t="inlineStr">
        <is>
          <t>Authorization/Accuracy</t>
        </is>
      </c>
      <c r="G21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0" s="13" t="inlineStr">
        <is>
          <t>Prev</t>
        </is>
      </c>
      <c r="I210" s="13" t="inlineStr">
        <is>
          <t>Automated</t>
        </is>
      </c>
      <c r="J210" s="13" t="inlineStr">
        <is>
          <t>Per budget</t>
        </is>
      </c>
      <c r="K210" s="12" t="inlineStr">
        <is>
          <t>Controller / FP&amp;A</t>
        </is>
      </c>
      <c r="L210" s="13" t="inlineStr">
        <is>
          <t>P10</t>
        </is>
      </c>
      <c r="M210" s="12" t="inlineStr">
        <is>
          <t>budget.service.ts upsertBudget(→PendingApproval)/approveBudget/rejectBudget/budgetVsActual(Approved only); budget.controller.ts (budgets/approve|reject|pending gated approvals/gl_close); schema/budgets.ts budgets.status + migration 0142; cutover/budget.ts (ToE)</t>
        </is>
      </c>
      <c r="N210" s="12" t="inlineStr">
        <is>
          <t>Inspect the request→approve flow + the approver≠requester check + that budget-vs-actual counts Approved budgets only.</t>
        </is>
      </c>
      <c r="O210" s="12" t="inlineStr">
        <is>
          <t>Re-perform: upsert a budget (PendingApproval, excluded from variance), attempt self-approve (SOD_VIOLATION), approve as a different user, confirm it then appears in budget-vs-actual (re-performed by the budget harness).</t>
        </is>
      </c>
      <c r="P210" s="12" t="inlineStr">
        <is>
          <t>Budget approval log + SoD test</t>
        </is>
      </c>
      <c r="Q210" s="18" t="inlineStr">
        <is>
          <t>Implemented</t>
        </is>
      </c>
    </row>
    <row r="211">
      <c r="A211" s="15" t="inlineStr">
        <is>
          <t>BUD-02</t>
        </is>
      </c>
      <c r="B211" s="16" t="inlineStr">
        <is>
          <t>Budgeting &amp; Planning</t>
        </is>
      </c>
      <c r="C211" s="17" t="inlineStr">
        <is>
          <t>Application</t>
        </is>
      </c>
      <c r="D211" s="16" t="inlineStr">
        <is>
          <t>Budget; Procurement (P2P spend)</t>
        </is>
      </c>
      <c r="E21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1" s="16" t="inlineStr">
        <is>
          <t>Authorization/Completeness</t>
        </is>
      </c>
      <c r="G21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1" s="17" t="inlineStr">
        <is>
          <t>Prev</t>
        </is>
      </c>
      <c r="I211" s="17" t="inlineStr">
        <is>
          <t>Automated</t>
        </is>
      </c>
      <c r="J211" s="17" t="inlineStr">
        <is>
          <t>Per approval</t>
        </is>
      </c>
      <c r="K211" s="16" t="inlineStr">
        <is>
          <t>Controller / FP&amp;A</t>
        </is>
      </c>
      <c r="L211" s="17" t="inlineStr">
        <is>
          <t>P10</t>
        </is>
      </c>
      <c r="M21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1" s="16" t="inlineStr">
        <is>
          <t>Inspect the availability formula (budget − actuals − open commitments), the policy switch + fail-open default, the exec-only override with mandatory reason, and the commitment lifecycle (reserve→consume/release).</t>
        </is>
      </c>
      <c r="O21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1" s="16" t="inlineStr">
        <is>
          <t>Budget-control policy + budget_commitments audit rows (override_by/override_reason)</t>
        </is>
      </c>
      <c r="Q211" s="18" t="inlineStr">
        <is>
          <t>Implemented</t>
        </is>
      </c>
    </row>
  </sheetData>
  <autoFilter ref="A1:Q2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COUNTIF(RCM!$Q$2:$Q$211,B5)</f>
        <v/>
      </c>
    </row>
    <row r="6">
      <c r="B6" s="27" t="inlineStr">
        <is>
          <t>Partial</t>
        </is>
      </c>
      <c r="C6" s="26">
        <f>COUNTIF(RCM!$Q$2:$Q$211,B6)</f>
        <v/>
      </c>
    </row>
    <row r="7">
      <c r="B7" s="28" t="inlineStr">
        <is>
          <t>Gap</t>
        </is>
      </c>
      <c r="C7" s="26">
        <f>COUNTIF(RCM!$Q$2:$Q$211,B7)</f>
        <v/>
      </c>
    </row>
    <row r="8">
      <c r="B8" s="29" t="inlineStr">
        <is>
          <t>Total</t>
        </is>
      </c>
      <c r="C8" s="29">
        <f>COUNTA(RCM!$A$2:$A$211)</f>
        <v/>
      </c>
    </row>
    <row r="10">
      <c r="B10" s="24" t="inlineStr">
        <is>
          <t>By Category</t>
        </is>
      </c>
    </row>
    <row r="11">
      <c r="B11" s="26" t="inlineStr">
        <is>
          <t>Entity</t>
        </is>
      </c>
      <c r="C11" s="26">
        <f>COUNTIF(RCM!$C$2:$C$211,B11)</f>
        <v/>
      </c>
    </row>
    <row r="12">
      <c r="B12" s="26" t="inlineStr">
        <is>
          <t>ITGC</t>
        </is>
      </c>
      <c r="C12" s="26">
        <f>COUNTIF(RCM!$C$2:$C$211,B12)</f>
        <v/>
      </c>
    </row>
    <row r="13">
      <c r="B13" s="26" t="inlineStr">
        <is>
          <t>Application</t>
        </is>
      </c>
      <c r="C13" s="26">
        <f>COUNTIF(RCM!$C$2:$C$211,B13)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LYL-22</t>
        </is>
      </c>
      <c r="B92" s="12" t="inlineStr">
        <is>
          <t>CRM — Loyalty</t>
        </is>
      </c>
      <c r="C92" s="13" t="inlineStr">
        <is>
          <t>Application</t>
        </is>
      </c>
      <c r="D92" s="12" t="inlineStr">
        <is>
          <t>Revenue; Points liability</t>
        </is>
      </c>
      <c r="E9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2" s="12" t="inlineStr">
        <is>
          <t>Accuracy/Occurrence</t>
        </is>
      </c>
      <c r="G92" s="12" t="inlineStr">
        <is>
          <t>Points-ledger replay guard: earnInTx/redeemInTx first look for an existing pos_member_ledger row for (tenant, member, ref_doc, txn_type) under the member row lock they already hold; when one exists the call returns the points ALREADY booked and mutates nothing (idempotent, so a replayed sale is a no-op rather than a second movement). Migration 0299 adds the hard backstop: a PARTIAL UNIQUE index uq_member_ledger_doc on (tenant_id, member_id, ref_doc, txn_type) WHERE ref_doc IS NOT NULL AND txn_type IN ('Earn','Redeem') — so any path that bypasses the service (a direct insert, a future integration) is rejected by the database. Adjust/Transfer/Expire rows and rows without a source document stay repeatable by design. The guard is inside the loyalty ledger itself, no longer dependent on the sale-level pos_offline_sync dedup one layer up.</t>
        </is>
      </c>
      <c r="H92" s="13" t="inlineStr">
        <is>
          <t>Prev</t>
        </is>
      </c>
      <c r="I92" s="13" t="inlineStr">
        <is>
          <t>Automated</t>
        </is>
      </c>
      <c r="J92" s="13" t="inlineStr">
        <is>
          <t>Per points movement</t>
        </is>
      </c>
      <c r="K92" s="12" t="inlineStr">
        <is>
          <t>HQ Controller / Loyalty owner</t>
        </is>
      </c>
      <c r="L92" s="13" t="inlineStr">
        <is>
          <t>P10</t>
        </is>
      </c>
      <c r="M92" s="12" t="inlineStr">
        <is>
          <t>loyalty/member.service.ts (priorLedgerPoints + earnInTx/redeemInTx guards); migration 0299 (uq_member_ledger_doc); schema/loyalty-members.ts; cutover/loyalty.ts (ToE)</t>
        </is>
      </c>
      <c r="N92" s="12" t="inlineStr">
        <is>
          <t>Inspect the pre-check under the member row lock and the partial unique index (its WHERE clause deliberately exempts Adjust/Transfer/Expire and NULL ref_doc).</t>
        </is>
      </c>
      <c r="O92" s="12" t="inlineStr">
        <is>
          <t>Re-perform: earn against a sale, replay the same sale (same points returned, balance unchanged, exactly one ledger row); redeem and replay it (no second deduction); a DIFFERENT document still books; a hand-written duplicate row is rejected by uq_member_ledger_doc (re-performed by the loyalty harness).</t>
        </is>
      </c>
      <c r="P92" s="12" t="inlineStr">
        <is>
          <t>pos_member_ledger rows per source document; points-liability (2250) roll-forward</t>
        </is>
      </c>
      <c r="Q92" s="18" t="inlineStr">
        <is>
          <t>Implemented</t>
        </is>
      </c>
    </row>
    <row r="93">
      <c r="A93" s="15" t="inlineStr">
        <is>
          <t>MKT-12</t>
        </is>
      </c>
      <c r="B93" s="16" t="inlineStr">
        <is>
          <t>CRM — Loyalty</t>
        </is>
      </c>
      <c r="C93" s="17" t="inlineStr">
        <is>
          <t>Application</t>
        </is>
      </c>
      <c r="D93" s="16" t="inlineStr">
        <is>
          <t>All</t>
        </is>
      </c>
      <c r="E93" s="16" t="inlineStr">
        <is>
          <t>A lifecycle journey (multi-step drip) spams a member (no frequency cap), messages an opted-out member (PDPA breach), or a crashed/re-run step delivers the same message twice — eroding consent compliance and brand trust with no audit trail.</t>
        </is>
      </c>
      <c r="F93" s="16" t="inlineStr">
        <is>
          <t>Occurrence/Authorization</t>
        </is>
      </c>
      <c r="G9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3" s="17" t="inlineStr">
        <is>
          <t>Prev/Det</t>
        </is>
      </c>
      <c r="I93" s="17" t="inlineStr">
        <is>
          <t>Automated</t>
        </is>
      </c>
      <c r="J93" s="17" t="inlineStr">
        <is>
          <t>Per step / scheduled run</t>
        </is>
      </c>
      <c r="K93" s="16" t="inlineStr">
        <is>
          <t>Marketing / Loyalty Admin</t>
        </is>
      </c>
      <c r="L93" s="17" t="inlineStr">
        <is>
          <t>P16</t>
        </is>
      </c>
      <c r="M9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3" s="16" t="inlineStr">
        <is>
          <t>Inspect the claim-first guarded UPDATE, the consent-respecting send path, the frequency-cap check + audited skip, and the tenant scoping.</t>
        </is>
      </c>
      <c r="O9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3" s="16" t="inlineStr">
        <is>
          <t>message_log journey:&lt;code&gt;:&lt;step&gt; rows; journey_enrollments claim trail</t>
        </is>
      </c>
      <c r="Q93" s="18" t="inlineStr">
        <is>
          <t>Implemented</t>
        </is>
      </c>
    </row>
    <row r="94">
      <c r="A94" s="11" t="inlineStr">
        <is>
          <t>EXP-01</t>
        </is>
      </c>
      <c r="B94" s="12" t="inlineStr">
        <is>
          <t>Expenditure</t>
        </is>
      </c>
      <c r="C94" s="13" t="inlineStr">
        <is>
          <t>Application</t>
        </is>
      </c>
      <c r="D94" s="12" t="inlineStr">
        <is>
          <t>Accounts Payable; Inventory</t>
        </is>
      </c>
      <c r="E94" s="12" t="inlineStr">
        <is>
          <t>Pay supplier for goods not ordered/received or wrong price; or the same person who ran the match force-overrides a variance to push their own invoice through.</t>
        </is>
      </c>
      <c r="F94" s="12" t="inlineStr">
        <is>
          <t>Occurrence/Accuracy/Authorization</t>
        </is>
      </c>
      <c r="G9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4" s="13" t="inlineStr">
        <is>
          <t>Prev</t>
        </is>
      </c>
      <c r="I94" s="13" t="inlineStr">
        <is>
          <t>Automated</t>
        </is>
      </c>
      <c r="J94" s="13" t="inlineStr">
        <is>
          <t>Per invoice</t>
        </is>
      </c>
      <c r="K94" s="12" t="inlineStr">
        <is>
          <t>AP / Controller</t>
        </is>
      </c>
      <c r="L94" s="13" t="inlineStr">
        <is>
          <t>P10</t>
        </is>
      </c>
      <c r="M94" s="12" t="inlineStr">
        <is>
          <t>match/three-way-match.service.ts (match gate; override SoD overrider≠matcher); match.controller.ts (override gated creditors/approvals/gl_close); cutover/match.ts (ToE); cutover/compliance.ts (ICFR ToE)</t>
        </is>
      </c>
      <c r="N94" s="12" t="inlineStr">
        <is>
          <t>Inspect match + tolerance + payment gate + the override SoD check.</t>
        </is>
      </c>
      <c r="O94" s="12" t="inlineStr">
        <is>
          <t>Sample invoices: payment blocked until matched; the matcher's self-override is rejected SOD_VIOLATION, an independent override unblocks, a re-match clears it (re-performed by the match + compliance harnesses).</t>
        </is>
      </c>
      <c r="P94" s="12" t="inlineStr">
        <is>
          <t>Match results; override SoD test</t>
        </is>
      </c>
      <c r="Q94" s="18" t="inlineStr">
        <is>
          <t>Implemented</t>
        </is>
      </c>
    </row>
    <row r="95">
      <c r="A95" s="15" t="inlineStr">
        <is>
          <t>EXP-02</t>
        </is>
      </c>
      <c r="B95" s="16" t="inlineStr">
        <is>
          <t>Expenditure</t>
        </is>
      </c>
      <c r="C95" s="17" t="inlineStr">
        <is>
          <t>Application</t>
        </is>
      </c>
      <c r="D95" s="16" t="inlineStr">
        <is>
          <t>Accounts Payable</t>
        </is>
      </c>
      <c r="E95" s="16" t="inlineStr">
        <is>
          <t>Payment to blocklisted/unapproved vendor.</t>
        </is>
      </c>
      <c r="F95" s="16" t="inlineStr">
        <is>
          <t>Validity</t>
        </is>
      </c>
      <c r="G95" s="16" t="inlineStr">
        <is>
          <t>Supplier approval-status / blocklist check blocks PO &amp; payment to blocked vendors.</t>
        </is>
      </c>
      <c r="H95" s="17" t="inlineStr">
        <is>
          <t>Prev</t>
        </is>
      </c>
      <c r="I95" s="17" t="inlineStr">
        <is>
          <t>Automated</t>
        </is>
      </c>
      <c r="J95" s="17" t="inlineStr">
        <is>
          <t>Per txn</t>
        </is>
      </c>
      <c r="K95" s="16" t="inlineStr">
        <is>
          <t>Procurement / AP</t>
        </is>
      </c>
      <c r="L95" s="17" t="inlineStr">
        <is>
          <t>P10</t>
        </is>
      </c>
      <c r="M95" s="16" t="inlineStr">
        <is>
          <t>procurement.service.ts (SUPPLIER_BLOCKED)</t>
        </is>
      </c>
      <c r="N95" s="16" t="inlineStr">
        <is>
          <t>Inspect vendor-status gate.</t>
        </is>
      </c>
      <c r="O95" s="16" t="inlineStr">
        <is>
          <t>Attempt PO to blocked vendor → 422.</t>
        </is>
      </c>
      <c r="P95" s="16" t="inlineStr">
        <is>
          <t>Vendor gate test</t>
        </is>
      </c>
      <c r="Q95" s="18" t="inlineStr">
        <is>
          <t>Implemented</t>
        </is>
      </c>
    </row>
    <row r="96">
      <c r="A96" s="11" t="inlineStr">
        <is>
          <t>EXP-03</t>
        </is>
      </c>
      <c r="B96" s="12" t="inlineStr">
        <is>
          <t>Expenditure</t>
        </is>
      </c>
      <c r="C96" s="13" t="inlineStr">
        <is>
          <t>Application</t>
        </is>
      </c>
      <c r="D96" s="12" t="inlineStr">
        <is>
          <t>Accounts Payable</t>
        </is>
      </c>
      <c r="E96" s="12" t="inlineStr">
        <is>
          <t>PR/PO raised or received without authorization.</t>
        </is>
      </c>
      <c r="F96" s="12" t="inlineStr">
        <is>
          <t>Authorization</t>
        </is>
      </c>
      <c r="G9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6" s="13" t="inlineStr">
        <is>
          <t>Prev</t>
        </is>
      </c>
      <c r="I96" s="13" t="inlineStr">
        <is>
          <t>Auto+Manual</t>
        </is>
      </c>
      <c r="J96" s="13" t="inlineStr">
        <is>
          <t>Per PR/PO</t>
        </is>
      </c>
      <c r="K96" s="12" t="inlineStr">
        <is>
          <t>Procurement Mgr</t>
        </is>
      </c>
      <c r="L96" s="13" t="inlineStr">
        <is>
          <t>P10</t>
        </is>
      </c>
      <c r="M96" s="12" t="inlineStr">
        <is>
          <t>workflow/workflow.service.ts (amount-threshold routing + maker-checker + SoD); procurement.service.ts createGr (PO-approval gate); cutover/compliance.ts (ToE)</t>
        </is>
      </c>
      <c r="N96" s="12" t="inlineStr">
        <is>
          <t>Inspect approval routing + thresholds + the GR-on-approval gate.</t>
        </is>
      </c>
      <c r="O96" s="12" t="inlineStr">
        <is>
          <t>Re-perform: a PR/PO is approved by an authorized approver ≠ requester; a GR against an unapproved PO is blocked (403 PO_NOT_APPROVED).</t>
        </is>
      </c>
      <c r="P96" s="12" t="inlineStr">
        <is>
          <t>Approval trail + GR gate ToE</t>
        </is>
      </c>
      <c r="Q96" s="18" t="inlineStr">
        <is>
          <t>Implemented</t>
        </is>
      </c>
    </row>
    <row r="97">
      <c r="A97" s="15" t="inlineStr">
        <is>
          <t>EXP-04</t>
        </is>
      </c>
      <c r="B97" s="16" t="inlineStr">
        <is>
          <t>Expenditure</t>
        </is>
      </c>
      <c r="C97" s="17" t="inlineStr">
        <is>
          <t>Application</t>
        </is>
      </c>
      <c r="D97" s="16" t="inlineStr">
        <is>
          <t>Accounts Payable</t>
        </is>
      </c>
      <c r="E97" s="16" t="inlineStr">
        <is>
          <t>Match tolerance loosened to force payment.</t>
        </is>
      </c>
      <c r="F97" s="16" t="inlineStr">
        <is>
          <t>Validity</t>
        </is>
      </c>
      <c r="G97" s="16" t="inlineStr">
        <is>
          <t>Match-tolerance configuration change restricted to 'creditors' permission.</t>
        </is>
      </c>
      <c r="H97" s="17" t="inlineStr">
        <is>
          <t>Prev</t>
        </is>
      </c>
      <c r="I97" s="17" t="inlineStr">
        <is>
          <t>Automated</t>
        </is>
      </c>
      <c r="J97" s="17" t="inlineStr">
        <is>
          <t>Per change</t>
        </is>
      </c>
      <c r="K97" s="16" t="inlineStr">
        <is>
          <t>Controller</t>
        </is>
      </c>
      <c r="L97" s="17" t="inlineStr">
        <is>
          <t>P10/P11</t>
        </is>
      </c>
      <c r="M97" s="16" t="inlineStr">
        <is>
          <t>match.controller.ts (PUT tolerance @Permissions creditors)</t>
        </is>
      </c>
      <c r="N97" s="16" t="inlineStr">
        <is>
          <t>Inspect permission on tolerance change.</t>
        </is>
      </c>
      <c r="O97" s="16" t="inlineStr">
        <is>
          <t>Attempt change w/o perm → 403; log changes.</t>
        </is>
      </c>
      <c r="P97" s="16" t="inlineStr">
        <is>
          <t>Config-change log</t>
        </is>
      </c>
      <c r="Q97" s="18" t="inlineStr">
        <is>
          <t>Implemented</t>
        </is>
      </c>
    </row>
    <row r="98">
      <c r="A98" s="11" t="inlineStr">
        <is>
          <t>EXP-05</t>
        </is>
      </c>
      <c r="B98" s="12" t="inlineStr">
        <is>
          <t>Expenditure</t>
        </is>
      </c>
      <c r="C98" s="13" t="inlineStr">
        <is>
          <t>Application</t>
        </is>
      </c>
      <c r="D98" s="12" t="inlineStr">
        <is>
          <t>Operating Expense; Accounts Payable</t>
        </is>
      </c>
      <c r="E98" s="12" t="inlineStr">
        <is>
          <t>Employee/maintenance spend recorded in GL but not as a payable (escapes AP aging; AP sub-ledger ≠ GL control).</t>
        </is>
      </c>
      <c r="F98" s="12" t="inlineStr">
        <is>
          <t>Completeness/Accuracy</t>
        </is>
      </c>
      <c r="G9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8" s="13" t="inlineStr">
        <is>
          <t>Prev</t>
        </is>
      </c>
      <c r="I98" s="13" t="inlineStr">
        <is>
          <t>Automated</t>
        </is>
      </c>
      <c r="J98" s="13" t="inlineStr">
        <is>
          <t>Per claim/WO</t>
        </is>
      </c>
      <c r="K98" s="12" t="inlineStr">
        <is>
          <t>AP / Controller</t>
        </is>
      </c>
      <c r="L98" s="13" t="inlineStr">
        <is>
          <t>P10</t>
        </is>
      </c>
      <c r="M98" s="12" t="inlineStr">
        <is>
          <t>ess.service.ts (approveExpense → createApTxn); eam.service.ts (updateWorkOrderStatus → createApTxn, acct 5710); finance.service.ts (createApTxn expense_account/tenant_id); cutover/ess.ts + basics.ts (ToE)</t>
        </is>
      </c>
      <c r="N98" s="12" t="inlineStr">
        <is>
          <t>Inspect approval→AP routing + reconciliation.</t>
        </is>
      </c>
      <c r="O98" s="12" t="inlineStr">
        <is>
          <t>Approve a claim / complete a WO → AP payable raised, paid via AP, sub-ledger ties to GL 2000 (re-performed by the harness).</t>
        </is>
      </c>
      <c r="P98" s="12" t="inlineStr">
        <is>
          <t>AP sub-ledger; reimbursement/maintenance payables</t>
        </is>
      </c>
      <c r="Q98" s="18" t="inlineStr">
        <is>
          <t>Implemented</t>
        </is>
      </c>
    </row>
    <row r="99">
      <c r="A99" s="15" t="inlineStr">
        <is>
          <t>EXP-06</t>
        </is>
      </c>
      <c r="B99" s="16" t="inlineStr">
        <is>
          <t>Expenditure</t>
        </is>
      </c>
      <c r="C99" s="17" t="inlineStr">
        <is>
          <t>Application</t>
        </is>
      </c>
      <c r="D99" s="16" t="inlineStr">
        <is>
          <t>Accounts Payable; Cash</t>
        </is>
      </c>
      <c r="E99" s="16" t="inlineStr">
        <is>
          <t>Vendor payment disbursed without independent approval — one person both books and pays a bill.</t>
        </is>
      </c>
      <c r="F99" s="16" t="inlineStr">
        <is>
          <t>Authorization</t>
        </is>
      </c>
      <c r="G99" s="16" t="inlineStr">
        <is>
          <t>AP disbursement maker-checker — a payment is REQUESTED by a 'creditors' holder and APPROVED by a DIFFERENT user (approvals/gl_close); the bill's paid_amount and the cash-disbursement GL move only on approval. Booking a bill pre-paid in one call is blocked.</t>
        </is>
      </c>
      <c r="H99" s="17" t="inlineStr">
        <is>
          <t>Prev</t>
        </is>
      </c>
      <c r="I99" s="17" t="inlineStr">
        <is>
          <t>Auto+Manual</t>
        </is>
      </c>
      <c r="J99" s="17" t="inlineStr">
        <is>
          <t>Per payment</t>
        </is>
      </c>
      <c r="K99" s="16" t="inlineStr">
        <is>
          <t>AP / Controller</t>
        </is>
      </c>
      <c r="L99" s="17" t="inlineStr">
        <is>
          <t>P10</t>
        </is>
      </c>
      <c r="M99" s="16" t="inlineStr">
        <is>
          <t>finance.service.ts (requestApPayment / approveApPayment requester≠approver / rejectApPayment); finance.controller.ts (creditors requests, approvals|gl_close approves); schema/finance.ts (ap_payments) + migration 0115; cutover/compliance.ts (ToE)</t>
        </is>
      </c>
      <c r="N99" s="16" t="inlineStr">
        <is>
          <t>Inspect AP payment approval routing + SoD guard.</t>
        </is>
      </c>
      <c r="O99" s="16" t="inlineStr">
        <is>
          <t>Sample payments: approver ≠ requester; no cash/GL effect until approved; self-approval → 403 SOD_VIOLATION; pre-paid creation → 400 (re-performed by the harness).</t>
        </is>
      </c>
      <c r="P99" s="16" t="inlineStr">
        <is>
          <t>AP payment approvals</t>
        </is>
      </c>
      <c r="Q99" s="18" t="inlineStr">
        <is>
          <t>Implemented</t>
        </is>
      </c>
    </row>
    <row r="100">
      <c r="A100" s="11" t="inlineStr">
        <is>
          <t>FA-06</t>
        </is>
      </c>
      <c r="B100" s="12" t="inlineStr">
        <is>
          <t>Fixed Assets</t>
        </is>
      </c>
      <c r="C100" s="13" t="inlineStr">
        <is>
          <t>Application</t>
        </is>
      </c>
      <c r="D100" s="12" t="inlineStr">
        <is>
          <t>Property, Plant &amp; Equipment</t>
        </is>
      </c>
      <c r="E100" s="12" t="inlineStr">
        <is>
          <t>Equipment not maintained; maintenance uncontrolled; preventive maintenance missed; maintenance cost mis-stated or not tracked per asset.</t>
        </is>
      </c>
      <c r="F100" s="12" t="inlineStr">
        <is>
          <t>Existence/Valuation</t>
        </is>
      </c>
      <c r="G10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0" s="13" t="inlineStr">
        <is>
          <t>Det</t>
        </is>
      </c>
      <c r="I100" s="13" t="inlineStr">
        <is>
          <t>Automated</t>
        </is>
      </c>
      <c r="J100" s="13" t="inlineStr">
        <is>
          <t>Per WO / per sweep</t>
        </is>
      </c>
      <c r="K100" s="12" t="inlineStr">
        <is>
          <t>Maintenance / FaAccountant</t>
        </is>
      </c>
      <c r="L100" s="13" t="inlineStr">
        <is>
          <t>P13/P16</t>
        </is>
      </c>
      <c r="M100" s="12" t="inlineStr">
        <is>
          <t>eam.service.ts (work orders, PM schedules, runPmDue, meters, WO cost lines, reliability); eam.controller.ts; bi.service.ts (eam_pm_generate); cutover/basics.ts (ToE)</t>
        </is>
      </c>
      <c r="N100" s="12" t="inlineStr">
        <is>
          <t>Inspect WO lifecycle guard + PM due logic; inspect cost-line roll-up into actual cost and reliability KPI computation.</t>
        </is>
      </c>
      <c r="O100" s="12" t="inlineStr">
        <is>
          <t>Raise/complete a WO; PM sweep raises due preventive WOs (time + meter) and is idempotent; cost lines roll up to actual cost and drive the AP posting; reliability KPIs computed (re-performed by the harness).</t>
        </is>
      </c>
      <c r="P100" s="12" t="inlineStr">
        <is>
          <t>Work-order log; PM schedule + sweep run log; WO cost lines; reliability KPI report</t>
        </is>
      </c>
      <c r="Q100" s="18" t="inlineStr">
        <is>
          <t>Implemented</t>
        </is>
      </c>
    </row>
    <row r="101">
      <c r="A101" s="15" t="inlineStr">
        <is>
          <t>INV-01</t>
        </is>
      </c>
      <c r="B101" s="16" t="inlineStr">
        <is>
          <t>Inventory &amp; COGS</t>
        </is>
      </c>
      <c r="C101" s="17" t="inlineStr">
        <is>
          <t>Application</t>
        </is>
      </c>
      <c r="D101" s="16" t="inlineStr">
        <is>
          <t>Inventory; COGS</t>
        </is>
      </c>
      <c r="E101" s="16" t="inlineStr">
        <is>
          <t>Two terminals sell last unit → negative/oversold stock.</t>
        </is>
      </c>
      <c r="F101" s="16" t="inlineStr">
        <is>
          <t>Existence/Valuation</t>
        </is>
      </c>
      <c r="G101" s="16" t="inlineStr">
        <is>
          <t>Bin-stock decrement under FOR UPDATE inside a transaction — concurrent picks serialize (no oversell).</t>
        </is>
      </c>
      <c r="H101" s="17" t="inlineStr">
        <is>
          <t>Prev</t>
        </is>
      </c>
      <c r="I101" s="17" t="inlineStr">
        <is>
          <t>Automated</t>
        </is>
      </c>
      <c r="J101" s="17" t="inlineStr">
        <is>
          <t>Per txn</t>
        </is>
      </c>
      <c r="K101" s="16" t="inlineStr">
        <is>
          <t>Eng Lead / Warehouse</t>
        </is>
      </c>
      <c r="L101" s="17" t="inlineStr">
        <is>
          <t>P10</t>
        </is>
      </c>
      <c r="M101" s="16" t="inlineStr">
        <is>
          <t>wms.service.ts (pick)</t>
        </is>
      </c>
      <c r="N101" s="16" t="inlineStr">
        <is>
          <t>Inspect lock + sufficiency check in tx.</t>
        </is>
      </c>
      <c r="O101" s="16" t="inlineStr">
        <is>
          <t>Concurrent last-unit test → one PICK_SHORT.</t>
        </is>
      </c>
      <c r="P101" s="16" t="inlineStr">
        <is>
          <t>Concurrency test</t>
        </is>
      </c>
      <c r="Q101" s="18" t="inlineStr">
        <is>
          <t>Implemented</t>
        </is>
      </c>
    </row>
    <row r="102">
      <c r="A102" s="11" t="inlineStr">
        <is>
          <t>INV-02</t>
        </is>
      </c>
      <c r="B102" s="12" t="inlineStr">
        <is>
          <t>Inventory &amp; COGS</t>
        </is>
      </c>
      <c r="C102" s="13" t="inlineStr">
        <is>
          <t>Application</t>
        </is>
      </c>
      <c r="D102" s="12" t="inlineStr">
        <is>
          <t>Inventory</t>
        </is>
      </c>
      <c r="E102" s="12" t="inlineStr">
        <is>
          <t>Stock movements not recorded (completeness of perpetual stock).</t>
        </is>
      </c>
      <c r="F102" s="12" t="inlineStr">
        <is>
          <t>Completeness</t>
        </is>
      </c>
      <c r="G102" s="12" t="inlineStr">
        <is>
          <t>Perpetual stock-movement + lot ledger logging on every issue/receipt/return.</t>
        </is>
      </c>
      <c r="H102" s="13" t="inlineStr">
        <is>
          <t>Det</t>
        </is>
      </c>
      <c r="I102" s="13" t="inlineStr">
        <is>
          <t>Automated</t>
        </is>
      </c>
      <c r="J102" s="13" t="inlineStr">
        <is>
          <t>Per txn</t>
        </is>
      </c>
      <c r="K102" s="12" t="inlineStr">
        <is>
          <t>Warehouse</t>
        </is>
      </c>
      <c r="L102" s="13" t="inlineStr">
        <is>
          <t>P13</t>
        </is>
      </c>
      <c r="M102" s="12" t="inlineStr">
        <is>
          <t>stock-ops; custStockLog; lotLedger</t>
        </is>
      </c>
      <c r="N102" s="12" t="inlineStr">
        <is>
          <t>Inspect movement logging.</t>
        </is>
      </c>
      <c r="O102" s="12" t="inlineStr">
        <is>
          <t>Tie sample movements to balances.</t>
        </is>
      </c>
      <c r="P102" s="12" t="inlineStr">
        <is>
          <t>Stock ledger</t>
        </is>
      </c>
      <c r="Q102" s="18" t="inlineStr">
        <is>
          <t>Implemented</t>
        </is>
      </c>
    </row>
    <row r="103">
      <c r="A103" s="15" t="inlineStr">
        <is>
          <t>INV-03</t>
        </is>
      </c>
      <c r="B103" s="16" t="inlineStr">
        <is>
          <t>Inventory &amp; COGS</t>
        </is>
      </c>
      <c r="C103" s="17" t="inlineStr">
        <is>
          <t>Application</t>
        </is>
      </c>
      <c r="D103" s="16" t="inlineStr">
        <is>
          <t>COGS</t>
        </is>
      </c>
      <c r="E103" s="16" t="inlineStr">
        <is>
          <t>COGS misstated; consumption not costed.</t>
        </is>
      </c>
      <c r="F103" s="16" t="inlineStr">
        <is>
          <t>Accuracy</t>
        </is>
      </c>
      <c r="G103" s="16" t="inlineStr">
        <is>
          <t>Inventory costing → COGS posting on consumption; recipe/BOM deduction + reversal on return.</t>
        </is>
      </c>
      <c r="H103" s="17" t="inlineStr">
        <is>
          <t>Auto</t>
        </is>
      </c>
      <c r="I103" s="17" t="inlineStr">
        <is>
          <t>Automated</t>
        </is>
      </c>
      <c r="J103" s="17" t="inlineStr">
        <is>
          <t>Per txn</t>
        </is>
      </c>
      <c r="K103" s="16" t="inlineStr">
        <is>
          <t>Controller</t>
        </is>
      </c>
      <c r="L103" s="17" t="inlineStr">
        <is>
          <t>P10</t>
        </is>
      </c>
      <c r="M103" s="16" t="inlineStr">
        <is>
          <t>costing; menu/recipe.service.ts</t>
        </is>
      </c>
      <c r="N103" s="16" t="inlineStr">
        <is>
          <t>Walkthrough consumption → COGS JE.</t>
        </is>
      </c>
      <c r="O103" s="16" t="inlineStr">
        <is>
          <t>Tie sample consumption to COGS.</t>
        </is>
      </c>
      <c r="P103" s="16" t="inlineStr">
        <is>
          <t>COGS tie-out</t>
        </is>
      </c>
      <c r="Q103" s="18" t="inlineStr">
        <is>
          <t>Implemented</t>
        </is>
      </c>
    </row>
    <row r="104">
      <c r="A104" s="11" t="inlineStr">
        <is>
          <t>INV-04</t>
        </is>
      </c>
      <c r="B104" s="12" t="inlineStr">
        <is>
          <t>Inventory &amp; COGS</t>
        </is>
      </c>
      <c r="C104" s="13" t="inlineStr">
        <is>
          <t>Application</t>
        </is>
      </c>
      <c r="D104" s="12" t="inlineStr">
        <is>
          <t>Inventory</t>
        </is>
      </c>
      <c r="E104" s="12" t="inlineStr">
        <is>
          <t>Book vs physical stock diverges; counts adjusted without independent review.</t>
        </is>
      </c>
      <c r="F104" s="12" t="inlineStr">
        <is>
          <t>Existence</t>
        </is>
      </c>
      <c r="G10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4" s="13" t="inlineStr">
        <is>
          <t>Det</t>
        </is>
      </c>
      <c r="I104" s="13" t="inlineStr">
        <is>
          <t>Auto+Manual</t>
        </is>
      </c>
      <c r="J104" s="13" t="inlineStr">
        <is>
          <t>Periodic</t>
        </is>
      </c>
      <c r="K104" s="12" t="inlineStr">
        <is>
          <t>Warehouse Mgr</t>
        </is>
      </c>
      <c r="L104" s="13" t="inlineStr">
        <is>
          <t>P16</t>
        </is>
      </c>
      <c r="M104" s="12" t="inlineStr">
        <is>
          <t>stock-ops/stock-ops.service.ts postStocktake (counter ≠ poster gate, SOD_SELF_APPROVAL); cutover/stock-ops.ts (ToE)</t>
        </is>
      </c>
      <c r="N104" s="12" t="inlineStr">
        <is>
          <t>Inspect the count → variance → independent-review/post flow.</t>
        </is>
      </c>
      <c r="O104" s="12" t="inlineStr">
        <is>
          <t>Re-perform: the counter posting their own stocktake is blocked (403 SOD_SELF_APPROVAL); an independent reviewer posts the variance.</t>
        </is>
      </c>
      <c r="P104" s="12" t="inlineStr">
        <is>
          <t>Variance review maker-checker ToE</t>
        </is>
      </c>
      <c r="Q104" s="18" t="inlineStr">
        <is>
          <t>Implemented</t>
        </is>
      </c>
    </row>
    <row r="105">
      <c r="A105" s="15" t="inlineStr">
        <is>
          <t>INV-05</t>
        </is>
      </c>
      <c r="B105" s="16" t="inlineStr">
        <is>
          <t>Inventory &amp; COGS</t>
        </is>
      </c>
      <c r="C105" s="17" t="inlineStr">
        <is>
          <t>Application</t>
        </is>
      </c>
      <c r="D105" s="16" t="inlineStr">
        <is>
          <t>Inventory</t>
        </is>
      </c>
      <c r="E105" s="16" t="inlineStr">
        <is>
          <t>A branch stock-out is fulfilled by BUYING new stock while a sibling branch holds idle surplus (capital tied up / over-ordering); or stock is moved between branches without attribution or segregation of duties.</t>
        </is>
      </c>
      <c r="F105" s="16" t="inlineStr">
        <is>
          <t>Existence/Accuracy/Authorization</t>
        </is>
      </c>
      <c r="G10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5" s="17" t="inlineStr">
        <is>
          <t>Prev/Det</t>
        </is>
      </c>
      <c r="I105" s="17" t="inlineStr">
        <is>
          <t>Auto+Manual</t>
        </is>
      </c>
      <c r="J105" s="17" t="inlineStr">
        <is>
          <t>Per replenishment run</t>
        </is>
      </c>
      <c r="K105" s="16" t="inlineStr">
        <is>
          <t>Planner / Warehouse / Procurement</t>
        </is>
      </c>
      <c r="L105" s="17" t="inlineStr">
        <is>
          <t>P10/P13</t>
        </is>
      </c>
      <c r="M105" s="16" t="inlineStr">
        <is>
          <t>wms/replenishment.service.ts (suggest transfer/buy split, autoTransfer, autoPr); wms.controller.ts (auto-transfer @wh_custody vs auto-pr @procurement); schema branch_stock + item_supplier + migration 0130; cutover/wms.ts (ToE)</t>
        </is>
      </c>
      <c r="N105" s="16" t="inlineStr">
        <is>
          <t>Inspect transfer-before-buy allocation, branch attribution, and leg segregation.</t>
        </is>
      </c>
      <c r="O10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5" s="16" t="inlineStr">
        <is>
          <t>Branch replenishment run log; inter-branch transfer log; residual PR</t>
        </is>
      </c>
      <c r="Q105" s="18" t="inlineStr">
        <is>
          <t>Implemented</t>
        </is>
      </c>
    </row>
    <row r="106">
      <c r="A106" s="11" t="inlineStr">
        <is>
          <t>INV-06</t>
        </is>
      </c>
      <c r="B106" s="12" t="inlineStr">
        <is>
          <t>Inventory &amp; COGS</t>
        </is>
      </c>
      <c r="C106" s="13" t="inlineStr">
        <is>
          <t>Application</t>
        </is>
      </c>
      <c r="D106" s="12" t="inlineStr">
        <is>
          <t>Inventory; COGS</t>
        </is>
      </c>
      <c r="E106" s="12" t="inlineStr">
        <is>
          <t>Perpetual stock VALUE drifts from the GL inventory control account; receipts/issues/adjustments uncosted or not posted to GL → inventory &amp; COGS misstated.</t>
        </is>
      </c>
      <c r="F106" s="12" t="inlineStr">
        <is>
          <t>Existence/Valuation/Completeness</t>
        </is>
      </c>
      <c r="G10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6" s="13" t="inlineStr">
        <is>
          <t>Prev+Det</t>
        </is>
      </c>
      <c r="I106" s="13" t="inlineStr">
        <is>
          <t>Automated</t>
        </is>
      </c>
      <c r="J106" s="13" t="inlineStr">
        <is>
          <t>Per txn</t>
        </is>
      </c>
      <c r="K106" s="12" t="inlineStr">
        <is>
          <t>Controller / Warehouse</t>
        </is>
      </c>
      <c r="L106" s="13" t="inlineStr">
        <is>
          <t>P10</t>
        </is>
      </c>
      <c r="M106" s="12" t="inlineStr">
        <is>
          <t>inventory-ledger.service.ts; stock-ops.service.ts (bridge); 0131 inv_moves/inv_balances; 0132 inv_cost_layers (FIFO/FEFO); ledger.postEntry</t>
        </is>
      </c>
      <c r="N106" s="12" t="inlineStr">
        <is>
          <t>Walkthrough receipt→issue→adjust + a stock-ops issue/transfer/stocktake on a tracked item, in both moving-avg and FEFO: inspect cost recompute / layer consumption, the balanced JE, and reconcile().</t>
        </is>
      </c>
      <c r="O106" s="12" t="inlineStr">
        <is>
          <t>Sample receipt/issue/adjust + stock-ops moves → sub-ledger value ties to GL 1200 (reconciled); FEFO COGS = actual layer cost; over-issue blocked; duplicate ref deduped.</t>
        </is>
      </c>
      <c r="P106" s="12" t="inlineStr">
        <is>
          <t>Reconciliation report; layers report; basics + compliance + stock-ops harness</t>
        </is>
      </c>
      <c r="Q106" s="18" t="inlineStr">
        <is>
          <t>Implemented</t>
        </is>
      </c>
    </row>
    <row r="107">
      <c r="A107" s="15" t="inlineStr">
        <is>
          <t>INV-07</t>
        </is>
      </c>
      <c r="B107" s="16" t="inlineStr">
        <is>
          <t>Inventory &amp; COGS</t>
        </is>
      </c>
      <c r="C107" s="17" t="inlineStr">
        <is>
          <t>Application</t>
        </is>
      </c>
      <c r="D107" s="16" t="inlineStr">
        <is>
          <t>Inventory; COGS</t>
        </is>
      </c>
      <c r="E107" s="16" t="inlineStr">
        <is>
          <t>Stock written off the books without independent review — one person posts a shrinkage/spoilage write-off to conceal a shortage they caused (theft of inventory).</t>
        </is>
      </c>
      <c r="F107" s="16" t="inlineStr">
        <is>
          <t>Authorization</t>
        </is>
      </c>
      <c r="G10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7" s="17" t="inlineStr">
        <is>
          <t>Prev</t>
        </is>
      </c>
      <c r="I107" s="17" t="inlineStr">
        <is>
          <t>Automated</t>
        </is>
      </c>
      <c r="J107" s="17" t="inlineStr">
        <is>
          <t>Per write-off</t>
        </is>
      </c>
      <c r="K107" s="16" t="inlineStr">
        <is>
          <t>Warehouse / Controller</t>
        </is>
      </c>
      <c r="L107" s="17" t="inlineStr">
        <is>
          <t>P10</t>
        </is>
      </c>
      <c r="M107" s="16" t="inlineStr">
        <is>
          <t>inventory-ledger.service.ts requestWriteOff/approveWriteOff/rejectWriteOff/listWriteOffs; inventory-ledger.controller.ts (writeoffs/:id/approve|reject, wh_adjust); schema/inventory.ts inv_writeoff_requests + migration 0136; cutover/basics.ts + compliance.ts (ToE)</t>
        </is>
      </c>
      <c r="N107" s="16" t="inlineStr">
        <is>
          <t>Inspect the request→approve flow + the approver≠requester check + that the request posts nothing until approval.</t>
        </is>
      </c>
      <c r="O107" s="16" t="inlineStr">
        <is>
          <t>Re-perform: request a write-off (on-hand unchanged), attempt self-approve (SOD_VIOLATION), approve as a different user; confirm the variance JE + balance move only after approval (re-performed by the harnesses).</t>
        </is>
      </c>
      <c r="P107" s="16" t="inlineStr">
        <is>
          <t>Write-off request register + SoD test</t>
        </is>
      </c>
      <c r="Q107" s="18" t="inlineStr">
        <is>
          <t>Implemented</t>
        </is>
      </c>
    </row>
    <row r="108">
      <c r="A108" s="11" t="inlineStr">
        <is>
          <t>INV-08</t>
        </is>
      </c>
      <c r="B108" s="12" t="inlineStr">
        <is>
          <t>Inventory &amp; COGS</t>
        </is>
      </c>
      <c r="C108" s="13" t="inlineStr">
        <is>
          <t>Application</t>
        </is>
      </c>
      <c r="D108" s="12" t="inlineStr">
        <is>
          <t>Inventory</t>
        </is>
      </c>
      <c r="E108" s="12" t="inlineStr">
        <is>
          <t>Stock mis-located or stored beyond a bin's physical capacity — overflow held in an unrecorded location, breaking the perpetual location records and concealing where inventory physically is (loss / shrink risk; inaccurate pick paths).</t>
        </is>
      </c>
      <c r="F108" s="12" t="inlineStr">
        <is>
          <t>Completeness; Accuracy</t>
        </is>
      </c>
      <c r="G10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8" s="13" t="inlineStr">
        <is>
          <t>Prev</t>
        </is>
      </c>
      <c r="I108" s="13" t="inlineStr">
        <is>
          <t>Automated</t>
        </is>
      </c>
      <c r="J108" s="13" t="inlineStr">
        <is>
          <t>Per putaway</t>
        </is>
      </c>
      <c r="K108" s="12" t="inlineStr">
        <is>
          <t>Warehouse</t>
        </is>
      </c>
      <c r="L108" s="13" t="inlineStr">
        <is>
          <t>P10</t>
        </is>
      </c>
      <c r="M108" s="12" t="inlineStr">
        <is>
          <t>wms.service.ts putaway (capacity guard) / warehouseLayout / locateItem / setBinLayout; wms.controller.ts (layout, locate, bins/:code/layout); schema/wms.ts bins.pos_*/dim_*/capacity + migration 0138; cutover/wms.ts (ToE)</t>
        </is>
      </c>
      <c r="N108" s="12" t="inlineStr">
        <is>
          <t>Inspect the putaway capacity guard + the layout utilisation/locate read model.</t>
        </is>
      </c>
      <c r="O108" s="12" t="inlineStr">
        <is>
          <t>Re-perform: set a bin capacity, putaway within capacity (accepted), putaway beyond it (422 BIN_CAPACITY_EXCEEDED, stock unchanged); confirm layout reports utilisation and locate finds the item (re-performed by the wms harness).</t>
        </is>
      </c>
      <c r="P108" s="12" t="inlineStr">
        <is>
          <t>Bin capacity test + layout/locate read</t>
        </is>
      </c>
      <c r="Q108" s="18" t="inlineStr">
        <is>
          <t>Implemented</t>
        </is>
      </c>
    </row>
    <row r="109">
      <c r="A109" s="15" t="inlineStr">
        <is>
          <t>INV-09</t>
        </is>
      </c>
      <c r="B109" s="16" t="inlineStr">
        <is>
          <t>Inventory &amp; COGS</t>
        </is>
      </c>
      <c r="C109" s="17" t="inlineStr">
        <is>
          <t>Application</t>
        </is>
      </c>
      <c r="D109" s="16" t="inlineStr">
        <is>
          <t>Inventory</t>
        </is>
      </c>
      <c r="E109" s="16" t="inlineStr">
        <is>
          <t>Available-to-promise mis-stated by leaked stock reservations — allocations that are never released or consumed accumulate so ATP drifts permanently low (false stock-outs), or a reservation oversells stock it never had.</t>
        </is>
      </c>
      <c r="F109" s="16" t="inlineStr">
        <is>
          <t>Accuracy; Completeness</t>
        </is>
      </c>
      <c r="G10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9" s="17" t="inlineStr">
        <is>
          <t>Prev</t>
        </is>
      </c>
      <c r="I109" s="17" t="inlineStr">
        <is>
          <t>Automated</t>
        </is>
      </c>
      <c r="J109" s="17" t="inlineStr">
        <is>
          <t>Per reservation</t>
        </is>
      </c>
      <c r="K109" s="16" t="inlineStr">
        <is>
          <t>Planner / Warehouse</t>
        </is>
      </c>
      <c r="L109" s="17" t="inlineStr">
        <is>
          <t>P10</t>
        </is>
      </c>
      <c r="M10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9" s="16" t="inlineStr">
        <is>
          <t>Inspect the reservation lifecycle + that ATP nets only Open + the idempotency/over-reserve guards.</t>
        </is>
      </c>
      <c r="O109" s="16" t="inlineStr">
        <is>
          <t>Re-perform: allocate (ATP drops), re-allocate same ref (idempotent -- no leak), over-reserve (422 INSUFFICIENT_ATP), release (frees ATP), fulfill + on-hand drop (ATP-neutral) (re-performed by the costing harness).</t>
        </is>
      </c>
      <c r="P109" s="16" t="inlineStr">
        <is>
          <t>Reservation register + ATP drift test</t>
        </is>
      </c>
      <c r="Q109" s="18" t="inlineStr">
        <is>
          <t>Implemented</t>
        </is>
      </c>
    </row>
    <row r="110">
      <c r="A110" s="11" t="inlineStr">
        <is>
          <t>INV-10</t>
        </is>
      </c>
      <c r="B110" s="12" t="inlineStr">
        <is>
          <t>Inventory &amp; COGS</t>
        </is>
      </c>
      <c r="C110" s="13" t="inlineStr">
        <is>
          <t>Application</t>
        </is>
      </c>
      <c r="D110" s="12" t="inlineStr">
        <is>
          <t>Inventory; Waste/scrap loss</t>
        </is>
      </c>
      <c r="E110" s="12" t="inlineStr">
        <is>
          <t>Kitchen/ingredient waste is invisible — spoilage/over-production is not captured, so food-cost loss can't be measured or controlled; OR a perpetual-tracked item is written off as 'waste' to bypass the independent write-off approval (INV-07).</t>
        </is>
      </c>
      <c r="F110" s="12" t="inlineStr">
        <is>
          <t>Completeness/Accuracy/Authorization</t>
        </is>
      </c>
      <c r="G11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0" s="13" t="inlineStr">
        <is>
          <t>Det/Prev</t>
        </is>
      </c>
      <c r="I110" s="13" t="inlineStr">
        <is>
          <t>Automated</t>
        </is>
      </c>
      <c r="J110" s="13" t="inlineStr">
        <is>
          <t>Per waste event</t>
        </is>
      </c>
      <c r="K110" s="12" t="inlineStr">
        <is>
          <t>Kitchen / Warehouse / Controller</t>
        </is>
      </c>
      <c r="L110" s="13" t="inlineStr">
        <is>
          <t>P10/P13</t>
        </is>
      </c>
      <c r="M110" s="12" t="inlineStr">
        <is>
          <t>inventory/waste.service.ts logWaste (perpetual-item guard, GL 5810/1200, stock decrement) + list (by-reason analytics); waste.controller.ts (/api/inventory/waste, warehouse/pos/order_mgt); schema/portal.ts waste_log + migration 0149; cutover/waste.ts (ToE)</t>
        </is>
      </c>
      <c r="N110" s="12" t="inlineStr">
        <is>
          <t>Inspect the reason-coded capture + the 5810/1200 GL on costed waste + the perpetual-item USE_WRITEOFF boundary + the by-reason analytics.</t>
        </is>
      </c>
      <c r="O110" s="12" t="inlineStr">
        <is>
          <t>Re-perform: costed waste posts Dr 5810 / Cr 1200 + decrements stock; uncosted waste logs with no GL; a perpetual-tracked item is rejected (USE_WRITEOFF); by-reason totals reconcile; trial balance balanced (re-performed by the waste harness).</t>
        </is>
      </c>
      <c r="P110" s="12" t="inlineStr">
        <is>
          <t>Waste log + by-reason food-cost analytics</t>
        </is>
      </c>
      <c r="Q110" s="18" t="inlineStr">
        <is>
          <t>Implemented</t>
        </is>
      </c>
    </row>
    <row r="111">
      <c r="A111" s="15" t="inlineStr">
        <is>
          <t>INV-11</t>
        </is>
      </c>
      <c r="B111" s="16" t="inlineStr">
        <is>
          <t>Inventory &amp; COGS</t>
        </is>
      </c>
      <c r="C111" s="17" t="inlineStr">
        <is>
          <t>Application</t>
        </is>
      </c>
      <c r="D111" s="16" t="inlineStr">
        <is>
          <t>Inventory; COGS</t>
        </is>
      </c>
      <c r="E111" s="16" t="inlineStr">
        <is>
          <t>Theoretical-vs-actual food-cost variance is a single undifferentiated number — a manager sees that COGS ran over the recipe but not WHY or WHERE, so the over-usage can't be acted on (over-portioning vs spoilage vs theft go unaddressed and recur).</t>
        </is>
      </c>
      <c r="F111" s="16" t="inlineStr">
        <is>
          <t>Accuracy/Completeness</t>
        </is>
      </c>
      <c r="G11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1" s="17" t="inlineStr">
        <is>
          <t>Det</t>
        </is>
      </c>
      <c r="I111" s="17" t="inlineStr">
        <is>
          <t>Auto+Manual</t>
        </is>
      </c>
      <c r="J111" s="17" t="inlineStr">
        <is>
          <t>Per EOD count / weekly review</t>
        </is>
      </c>
      <c r="K111" s="16" t="inlineStr">
        <is>
          <t>F&amp;B Controller / Kitchen Mgr</t>
        </is>
      </c>
      <c r="L111" s="17" t="inlineStr">
        <is>
          <t>P10/P13</t>
        </is>
      </c>
      <c r="M11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1" s="16" t="inlineStr">
        <is>
          <t>Inspect the reason_code enum capture, the valued by_reason/by_station roll-ups, the anomaly bands, and tenant isolation.</t>
        </is>
      </c>
      <c r="O111" s="16" t="inlineStr">
        <is>
          <t>Re-perform: seed counts with reason/station; the variance values per ingredient (NOODLE +฿30 High), nets +30/−50 to −20, by_reason PORTIONING +30 / WASTE −50, by_station Sauce +30 (20%); another tenant's counts are excluded (re-performed by the restaurant harness).</t>
        </is>
      </c>
      <c r="P111" s="16" t="inlineStr">
        <is>
          <t>Reason-coded variance roll-up + by-station test</t>
        </is>
      </c>
      <c r="Q111" s="18" t="inlineStr">
        <is>
          <t>Implemented</t>
        </is>
      </c>
    </row>
    <row r="112">
      <c r="A112" s="11" t="inlineStr">
        <is>
          <t>INV-12</t>
        </is>
      </c>
      <c r="B112" s="12" t="inlineStr">
        <is>
          <t>Inventory &amp; COGS</t>
        </is>
      </c>
      <c r="C112" s="13" t="inlineStr">
        <is>
          <t>Application</t>
        </is>
      </c>
      <c r="D112" s="12" t="inlineStr">
        <is>
          <t>Inventory</t>
        </is>
      </c>
      <c r="E112" s="12" t="inlineStr">
        <is>
          <t>Per-branch reorder points are STATIC numbers — set once and never revisited — so a branch whose run-rate has grown carries too small a buffer and stocks out (lost sales), while a slow branch over-orders and ties up cash/spoils stock; neither is flagged.</t>
        </is>
      </c>
      <c r="F112" s="12" t="inlineStr">
        <is>
          <t>Accuracy/Completeness</t>
        </is>
      </c>
      <c r="G11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2" s="13" t="inlineStr">
        <is>
          <t>Det</t>
        </is>
      </c>
      <c r="I112" s="13" t="inlineStr">
        <is>
          <t>Auto+Manual</t>
        </is>
      </c>
      <c r="J112" s="13" t="inlineStr">
        <is>
          <t>Periodic / per planning cycle</t>
        </is>
      </c>
      <c r="K112" s="12" t="inlineStr">
        <is>
          <t>Planner / Supply Chain</t>
        </is>
      </c>
      <c r="L112" s="13" t="inlineStr">
        <is>
          <t>P13</t>
        </is>
      </c>
      <c r="M11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2" s="12" t="inlineStr">
        <is>
          <t>Inspect the avg-daily-usage derivation from consumption logs, the lead-time x safety reorder-point formula, the under_buffered flag, and the planner-gated apply.</t>
        </is>
      </c>
      <c r="O112" s="12" t="inlineStr">
        <is>
          <t>Re-perform: seed branch consumption (10/day) at lead 3 -&gt; recommend ROP 38 (under-buffered vs static 10); apply writes 38 onto branch_stock; tenant-isolated (re-performed by the wms harness).</t>
        </is>
      </c>
      <c r="P112" s="12" t="inlineStr">
        <is>
          <t>Par recommendation list + apply test</t>
        </is>
      </c>
      <c r="Q112" s="18" t="inlineStr">
        <is>
          <t>Implemented</t>
        </is>
      </c>
    </row>
    <row r="113">
      <c r="A113" s="15" t="inlineStr">
        <is>
          <t>INV-13</t>
        </is>
      </c>
      <c r="B113" s="16" t="inlineStr">
        <is>
          <t>Inventory &amp; COGS</t>
        </is>
      </c>
      <c r="C113" s="17" t="inlineStr">
        <is>
          <t>Application</t>
        </is>
      </c>
      <c r="D113" s="16" t="inlineStr">
        <is>
          <t>Inventory; Project WIP</t>
        </is>
      </c>
      <c r="E11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3" s="16" t="inlineStr">
        <is>
          <t>Accuracy/Completeness/Existence</t>
        </is>
      </c>
      <c r="G11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3" s="17" t="inlineStr">
        <is>
          <t>Prev</t>
        </is>
      </c>
      <c r="I113" s="17" t="inlineStr">
        <is>
          <t>Automated</t>
        </is>
      </c>
      <c r="J113" s="17" t="inlineStr">
        <is>
          <t>Per reservation / issue</t>
        </is>
      </c>
      <c r="K113" s="16" t="inlineStr">
        <is>
          <t>Warehouse / ProjectController</t>
        </is>
      </c>
      <c r="L113" s="17" t="inlineStr">
        <is>
          <t>P13</t>
        </is>
      </c>
      <c r="M11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3" s="16" t="inlineStr">
        <is>
          <t>Inspect the available = on_hand − held computation, the FOR UPDATE atomicity, the release/consume lifecycle, and the Dr 1260(project)/Cr 1200 issue-to-project posting.</t>
        </is>
      </c>
      <c r="O11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3" s="16" t="inlineStr">
        <is>
          <t>Available-to-issue (on_hand − held); the issue-to-project WIP posting</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CON-01</t>
        </is>
      </c>
      <c r="B205" s="16" t="inlineStr">
        <is>
          <t>Consolidation &amp; FX</t>
        </is>
      </c>
      <c r="C205" s="17" t="inlineStr">
        <is>
          <t>Application</t>
        </is>
      </c>
      <c r="D205" s="16" t="inlineStr">
        <is>
          <t>Consolidation</t>
        </is>
      </c>
      <c r="E205" s="16" t="inlineStr">
        <is>
          <t>Group consolidation mis-stated (ownership/currency).</t>
        </is>
      </c>
      <c r="F205" s="16" t="inlineStr">
        <is>
          <t>Accuracy</t>
        </is>
      </c>
      <c r="G205" s="16" t="inlineStr">
        <is>
          <t>Consolidation run (ownership %, entity currency) gated by 'approvals'.</t>
        </is>
      </c>
      <c r="H205" s="17" t="inlineStr">
        <is>
          <t>Auto+Manual</t>
        </is>
      </c>
      <c r="I205" s="17" t="inlineStr">
        <is>
          <t>Period</t>
        </is>
      </c>
      <c r="J205" s="17" t="inlineStr">
        <is>
          <t>Period</t>
        </is>
      </c>
      <c r="K205" s="16" t="inlineStr">
        <is>
          <t>Group Controller</t>
        </is>
      </c>
      <c r="L205" s="17" t="inlineStr">
        <is>
          <t>P10</t>
        </is>
      </c>
      <c r="M205" s="16" t="inlineStr">
        <is>
          <t>consolidation.service.ts (runConsolidation @Permissions approvals)</t>
        </is>
      </c>
      <c r="N205" s="16" t="inlineStr">
        <is>
          <t>Inspect consolidation logic + gate.</t>
        </is>
      </c>
      <c r="O205" s="16" t="inlineStr">
        <is>
          <t>Sample period: consolidated TB ties to entities.</t>
        </is>
      </c>
      <c r="P205" s="16" t="inlineStr">
        <is>
          <t>Consol TB</t>
        </is>
      </c>
      <c r="Q205" s="18" t="inlineStr">
        <is>
          <t>Implemented</t>
        </is>
      </c>
    </row>
    <row r="206">
      <c r="A206" s="11" t="inlineStr">
        <is>
          <t>CON-02</t>
        </is>
      </c>
      <c r="B206" s="12" t="inlineStr">
        <is>
          <t>Consolidation &amp; FX</t>
        </is>
      </c>
      <c r="C206" s="13" t="inlineStr">
        <is>
          <t>Application</t>
        </is>
      </c>
      <c r="D206" s="12" t="inlineStr">
        <is>
          <t>FX gain/loss</t>
        </is>
      </c>
      <c r="E206" s="12" t="inlineStr">
        <is>
          <t>FX exposures not revalued at period-end.</t>
        </is>
      </c>
      <c r="F206" s="12" t="inlineStr">
        <is>
          <t>Valuation</t>
        </is>
      </c>
      <c r="G206" s="12" t="inlineStr">
        <is>
          <t>FX revaluation at period-end rates; unrealized FX posted (acct 5400).</t>
        </is>
      </c>
      <c r="H206" s="13" t="inlineStr">
        <is>
          <t>Auto+Manual</t>
        </is>
      </c>
      <c r="I206" s="13" t="inlineStr">
        <is>
          <t>Period-end</t>
        </is>
      </c>
      <c r="J206" s="13" t="inlineStr">
        <is>
          <t>Period</t>
        </is>
      </c>
      <c r="K206" s="12" t="inlineStr">
        <is>
          <t>Controller</t>
        </is>
      </c>
      <c r="L206" s="13" t="inlineStr">
        <is>
          <t>P10</t>
        </is>
      </c>
      <c r="M206" s="12" t="inlineStr">
        <is>
          <t>fx.service.ts (revalue / unrealized report)</t>
        </is>
      </c>
      <c r="N206" s="12" t="inlineStr">
        <is>
          <t>Inspect reval logic + rates.</t>
        </is>
      </c>
      <c r="O206" s="12" t="inlineStr">
        <is>
          <t>Recompute reval on sample balances.</t>
        </is>
      </c>
      <c r="P206" s="12" t="inlineStr">
        <is>
          <t>FX reval JE</t>
        </is>
      </c>
      <c r="Q206" s="18" t="inlineStr">
        <is>
          <t>Implemented</t>
        </is>
      </c>
    </row>
    <row r="207">
      <c r="A207" s="15" t="inlineStr">
        <is>
          <t>CON-03</t>
        </is>
      </c>
      <c r="B207" s="16" t="inlineStr">
        <is>
          <t>Consolidation &amp; FX</t>
        </is>
      </c>
      <c r="C207" s="17" t="inlineStr">
        <is>
          <t>Application</t>
        </is>
      </c>
      <c r="D207" s="16" t="inlineStr">
        <is>
          <t>Consolidation</t>
        </is>
      </c>
      <c r="E207" s="16" t="inlineStr">
        <is>
          <t>Intercompany balances/transactions are not eliminated on consolidation, OR eliminations are mis-stated, so the consolidated group trial balance does not balance and group financials are overstated (IC double-counted).</t>
        </is>
      </c>
      <c r="F207" s="16" t="inlineStr">
        <is>
          <t>Accuracy/Completeness</t>
        </is>
      </c>
      <c r="G20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7" s="17" t="inlineStr">
        <is>
          <t>Prev</t>
        </is>
      </c>
      <c r="I207" s="17" t="inlineStr">
        <is>
          <t>Auto+Manual</t>
        </is>
      </c>
      <c r="J207" s="17" t="inlineStr">
        <is>
          <t>Period</t>
        </is>
      </c>
      <c r="K207" s="16" t="inlineStr">
        <is>
          <t>Group Controller</t>
        </is>
      </c>
      <c r="L207" s="17" t="inlineStr">
        <is>
          <t>P10</t>
        </is>
      </c>
      <c r="M20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7" s="16" t="inlineStr">
        <is>
          <t>Inspect the combine→eliminate→balance flow, the CONSOL_UNBALANCED guard, and the run→post approver≠runner check.</t>
        </is>
      </c>
      <c r="O207" s="16" t="inlineStr">
        <is>
          <t>Re-perform: run a group consolidation, confirm IC 1150/2150 eliminate and the consolidated TB balances; attempt self-post (SELF_POST); post as a different user (Posted); re-run the posted period (ALREADY_POSTED). Re-performed by the consolidation harness.</t>
        </is>
      </c>
      <c r="P207" s="16" t="inlineStr">
        <is>
          <t>Consolidated TB + elimination lines + post log</t>
        </is>
      </c>
      <c r="Q207" s="18" t="inlineStr">
        <is>
          <t>Implemented</t>
        </is>
      </c>
    </row>
    <row r="208">
      <c r="A208" s="11" t="inlineStr">
        <is>
          <t>CON-04</t>
        </is>
      </c>
      <c r="B208" s="12" t="inlineStr">
        <is>
          <t>Consolidation &amp; FX</t>
        </is>
      </c>
      <c r="C208" s="13" t="inlineStr">
        <is>
          <t>Application</t>
        </is>
      </c>
      <c r="D208" s="12" t="inlineStr">
        <is>
          <t>All (segment disclosure)</t>
        </is>
      </c>
      <c r="E208" s="12" t="inlineStr">
        <is>
          <t>Segment (branch/project/department) operating results are not reported, so IFRS 8 segment disclosure is incomplete or inaccurate and management/investors cannot see results by reportable segment.</t>
        </is>
      </c>
      <c r="F208" s="12" t="inlineStr">
        <is>
          <t>Presentation/Disclosure</t>
        </is>
      </c>
      <c r="G20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8" s="13" t="inlineStr">
        <is>
          <t>Det</t>
        </is>
      </c>
      <c r="I208" s="13" t="inlineStr">
        <is>
          <t>Auto+Manual</t>
        </is>
      </c>
      <c r="J208" s="13" t="inlineStr">
        <is>
          <t>Period</t>
        </is>
      </c>
      <c r="K208" s="12" t="inlineStr">
        <is>
          <t>Group Controller</t>
        </is>
      </c>
      <c r="L208" s="13" t="inlineStr">
        <is>
          <t>P10</t>
        </is>
      </c>
      <c r="M208" s="12" t="inlineStr">
        <is>
          <t>consolidation.service.ts defineSegment/listSegments/segmentReport; consolidation.controller.ts (segments, segment-report @exec); schema/consolidation.ts segment_definitions + migration 0170; cutover/consolidation.ts (ToE)</t>
        </is>
      </c>
      <c r="N208" s="12" t="inlineStr">
        <is>
          <t>Inspect the segment mapping + the dimension-grouped P&amp;L aggregation.</t>
        </is>
      </c>
      <c r="O208" s="12" t="inlineStr">
        <is>
          <t>Re-perform: define a segment over branches, run the segment report for a period, confirm revenue/expense/net tie to the underlying dimensioned postings. Re-performed by the consolidation harness.</t>
        </is>
      </c>
      <c r="P208" s="12" t="inlineStr">
        <is>
          <t>Segment P&amp;L report</t>
        </is>
      </c>
      <c r="Q208" s="18" t="inlineStr">
        <is>
          <t>Implemented</t>
        </is>
      </c>
    </row>
    <row r="209">
      <c r="A209" s="15" t="inlineStr">
        <is>
          <t>FX-04</t>
        </is>
      </c>
      <c r="B209" s="16" t="inlineStr">
        <is>
          <t>Consolidation &amp; FX</t>
        </is>
      </c>
      <c r="C209" s="17" t="inlineStr">
        <is>
          <t>Application</t>
        </is>
      </c>
      <c r="D209" s="16" t="inlineStr">
        <is>
          <t>FX gain/loss; Revenue; AR/AP</t>
        </is>
      </c>
      <c r="E209" s="16" t="inlineStr">
        <is>
          <t>A wrong manually-entered FX rate (fat-fingered, e.g. USD 36 keyed as 63) flows straight into a period-end revaluation JE and the unrealized-FX report with no independent review — mis-stating earnings/equity and FX-translated balances.</t>
        </is>
      </c>
      <c r="F209" s="16" t="inlineStr">
        <is>
          <t>Accuracy/Valuation</t>
        </is>
      </c>
      <c r="G20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9" s="17" t="inlineStr">
        <is>
          <t>Prev</t>
        </is>
      </c>
      <c r="I209" s="17" t="inlineStr">
        <is>
          <t>Automated</t>
        </is>
      </c>
      <c r="J209" s="17" t="inlineStr">
        <is>
          <t>Per rate</t>
        </is>
      </c>
      <c r="K209" s="16" t="inlineStr">
        <is>
          <t>Controller / Treasury</t>
        </is>
      </c>
      <c r="L209" s="17" t="inlineStr">
        <is>
          <t>P10</t>
        </is>
      </c>
      <c r="M20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9" s="16" t="inlineStr">
        <is>
          <t>Inspect the request→approve flow + the approver≠requester check + that revaluation/reporting resolve Approved rates only.</t>
        </is>
      </c>
      <c r="O209" s="16" t="inlineStr">
        <is>
          <t>Re-perform: enter a manual rate (PendingApproval), confirm revalue is blocked NO_RATE while pending, attempt self-approve (SOD_VIOLATION), approve as a different user, then revalue succeeds (re-performed by the fxreval harness).</t>
        </is>
      </c>
      <c r="P209" s="16" t="inlineStr">
        <is>
          <t>FX rate approval log + SoD test</t>
        </is>
      </c>
      <c r="Q209" s="18" t="inlineStr">
        <is>
          <t>Implemented</t>
        </is>
      </c>
    </row>
    <row r="210">
      <c r="A210" s="11" t="inlineStr">
        <is>
          <t>BUD-01</t>
        </is>
      </c>
      <c r="B210" s="12" t="inlineStr">
        <is>
          <t>Budgeting &amp; Planning</t>
        </is>
      </c>
      <c r="C210" s="13" t="inlineStr">
        <is>
          <t>Application</t>
        </is>
      </c>
      <c r="D210" s="12" t="inlineStr">
        <is>
          <t>Budget; All (variance reporting)</t>
        </is>
      </c>
      <c r="E21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0" s="12" t="inlineStr">
        <is>
          <t>Authorization/Accuracy</t>
        </is>
      </c>
      <c r="G21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0" s="13" t="inlineStr">
        <is>
          <t>Prev</t>
        </is>
      </c>
      <c r="I210" s="13" t="inlineStr">
        <is>
          <t>Automated</t>
        </is>
      </c>
      <c r="J210" s="13" t="inlineStr">
        <is>
          <t>Per budget</t>
        </is>
      </c>
      <c r="K210" s="12" t="inlineStr">
        <is>
          <t>Controller / FP&amp;A</t>
        </is>
      </c>
      <c r="L210" s="13" t="inlineStr">
        <is>
          <t>P10</t>
        </is>
      </c>
      <c r="M210" s="12" t="inlineStr">
        <is>
          <t>budget.service.ts upsertBudget(→PendingApproval)/approveBudget/rejectBudget/budgetVsActual(Approved only); budget.controller.ts (budgets/approve|reject|pending gated approvals/gl_close); schema/budgets.ts budgets.status + migration 0142; cutover/budget.ts (ToE)</t>
        </is>
      </c>
      <c r="N210" s="12" t="inlineStr">
        <is>
          <t>Inspect the request→approve flow + the approver≠requester check + that budget-vs-actual counts Approved budgets only.</t>
        </is>
      </c>
      <c r="O210" s="12" t="inlineStr">
        <is>
          <t>Re-perform: upsert a budget (PendingApproval, excluded from variance), attempt self-approve (SOD_VIOLATION), approve as a different user, confirm it then appears in budget-vs-actual (re-performed by the budget harness).</t>
        </is>
      </c>
      <c r="P210" s="12" t="inlineStr">
        <is>
          <t>Budget approval log + SoD test</t>
        </is>
      </c>
      <c r="Q210" s="18" t="inlineStr">
        <is>
          <t>Implemented</t>
        </is>
      </c>
    </row>
    <row r="211">
      <c r="A211" s="15" t="inlineStr">
        <is>
          <t>BUD-02</t>
        </is>
      </c>
      <c r="B211" s="16" t="inlineStr">
        <is>
          <t>Budgeting &amp; Planning</t>
        </is>
      </c>
      <c r="C211" s="17" t="inlineStr">
        <is>
          <t>Application</t>
        </is>
      </c>
      <c r="D211" s="16" t="inlineStr">
        <is>
          <t>Budget; Procurement (P2P spend)</t>
        </is>
      </c>
      <c r="E21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1" s="16" t="inlineStr">
        <is>
          <t>Authorization/Completeness</t>
        </is>
      </c>
      <c r="G21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1" s="17" t="inlineStr">
        <is>
          <t>Prev</t>
        </is>
      </c>
      <c r="I211" s="17" t="inlineStr">
        <is>
          <t>Automated</t>
        </is>
      </c>
      <c r="J211" s="17" t="inlineStr">
        <is>
          <t>Per approval</t>
        </is>
      </c>
      <c r="K211" s="16" t="inlineStr">
        <is>
          <t>Controller / FP&amp;A</t>
        </is>
      </c>
      <c r="L211" s="17" t="inlineStr">
        <is>
          <t>P10</t>
        </is>
      </c>
      <c r="M21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1" s="16" t="inlineStr">
        <is>
          <t>Inspect the availability formula (budget − actuals − open commitments), the policy switch + fail-open default, the exec-only override with mandatory reason, and the commitment lifecycle (reserve→consume/release).</t>
        </is>
      </c>
      <c r="O21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1" s="16" t="inlineStr">
        <is>
          <t>Budget-control policy + budget_commitments audit rows (override_by/override_reason)</t>
        </is>
      </c>
      <c r="Q211" s="18" t="inlineStr">
        <is>
          <t>Implemented</t>
        </is>
      </c>
    </row>
  </sheetData>
  <autoFilter ref="A1:Q2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COUNTIF(RCM!$Q$2:$Q$211,B5)</f>
        <v/>
      </c>
    </row>
    <row r="6">
      <c r="B6" s="27" t="inlineStr">
        <is>
          <t>Partial</t>
        </is>
      </c>
      <c r="C6" s="26">
        <f>COUNTIF(RCM!$Q$2:$Q$211,B6)</f>
        <v/>
      </c>
    </row>
    <row r="7">
      <c r="B7" s="28" t="inlineStr">
        <is>
          <t>Gap</t>
        </is>
      </c>
      <c r="C7" s="26">
        <f>COUNTIF(RCM!$Q$2:$Q$211,B7)</f>
        <v/>
      </c>
    </row>
    <row r="8">
      <c r="B8" s="29" t="inlineStr">
        <is>
          <t>Total</t>
        </is>
      </c>
      <c r="C8" s="29">
        <f>COUNTA(RCM!$A$2:$A$211)</f>
        <v/>
      </c>
    </row>
    <row r="10">
      <c r="B10" s="24" t="inlineStr">
        <is>
          <t>By Category</t>
        </is>
      </c>
    </row>
    <row r="11">
      <c r="B11" s="26" t="inlineStr">
        <is>
          <t>Entity</t>
        </is>
      </c>
      <c r="C11" s="26">
        <f>COUNTIF(RCM!$C$2:$C$211,B11)</f>
        <v/>
      </c>
    </row>
    <row r="12">
      <c r="B12" s="26" t="inlineStr">
        <is>
          <t>ITGC</t>
        </is>
      </c>
      <c r="C12" s="26">
        <f>COUNTIF(RCM!$C$2:$C$211,B12)</f>
        <v/>
      </c>
    </row>
    <row r="13">
      <c r="B13" s="26" t="inlineStr">
        <is>
          <t>Application</t>
        </is>
      </c>
      <c r="C13" s="26">
        <f>COUNTIF(RCM!$C$2:$C$211,B13)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2026-07-10T10:40:45Z</dcterms:created>
  <dcterms:modified xmlns:dcterms="http://purl.org/dc/terms/" xmlns:xsi="http://www.w3.org/2001/XMLSchema-instance" xsi:type="dcterms:W3CDTF">2026-07-10T10:40:45Z</dcterms:modified>
</cp:coreProperties>
</file>