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'RCM'!$A$1:$Q$212</definedName>
    <definedName name="_xlnm._FilterDatabase" localSheetId="2" hidden="1">'Gap Remediation'!$A$2:$H$5</definedName>
    <definedName name="_xlnm._FilterDatabase" localSheetId="5" hidden="1">'RCM1'!$A$1:$Q$212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BUD-01</t>
        </is>
      </c>
      <c r="B211" s="16" t="inlineStr">
        <is>
          <t>Budgeting &amp; Planning</t>
        </is>
      </c>
      <c r="C211" s="17" t="inlineStr">
        <is>
          <t>Application</t>
        </is>
      </c>
      <c r="D211" s="16" t="inlineStr">
        <is>
          <t>Budget; All (variance reporting)</t>
        </is>
      </c>
      <c r="E21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1" s="16" t="inlineStr">
        <is>
          <t>Authorization/Accuracy</t>
        </is>
      </c>
      <c r="G21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1" s="17" t="inlineStr">
        <is>
          <t>Prev</t>
        </is>
      </c>
      <c r="I211" s="17" t="inlineStr">
        <is>
          <t>Automated</t>
        </is>
      </c>
      <c r="J211" s="17" t="inlineStr">
        <is>
          <t>Per budget</t>
        </is>
      </c>
      <c r="K211" s="16" t="inlineStr">
        <is>
          <t>Controller / FP&amp;A</t>
        </is>
      </c>
      <c r="L211" s="17" t="inlineStr">
        <is>
          <t>P10</t>
        </is>
      </c>
      <c r="M211" s="16" t="inlineStr">
        <is>
          <t>budget.service.ts upsertBudget(→PendingApproval)/approveBudget/rejectBudget/budgetVsActual(Approved only); budget.controller.ts (budgets/approve|reject|pending gated approvals/gl_close); schema/budgets.ts budgets.status + migration 0142; cutover/budget.ts (ToE)</t>
        </is>
      </c>
      <c r="N211" s="16" t="inlineStr">
        <is>
          <t>Inspect the request→approve flow + the approver≠requester check + that budget-vs-actual counts Approved budgets only.</t>
        </is>
      </c>
      <c r="O211" s="16" t="inlineStr">
        <is>
          <t>Re-perform: upsert a budget (PendingApproval, excluded from variance), attempt self-approve (SOD_VIOLATION), approve as a different user, confirm it then appears in budget-vs-actual (re-performed by the budget harness).</t>
        </is>
      </c>
      <c r="P211" s="16" t="inlineStr">
        <is>
          <t>Budget approval log + SoD test</t>
        </is>
      </c>
      <c r="Q211" s="18" t="inlineStr">
        <is>
          <t>Implemented</t>
        </is>
      </c>
    </row>
    <row r="212">
      <c r="A212" s="11" t="inlineStr">
        <is>
          <t>BUD-02</t>
        </is>
      </c>
      <c r="B212" s="12" t="inlineStr">
        <is>
          <t>Budgeting &amp; Planning</t>
        </is>
      </c>
      <c r="C212" s="13" t="inlineStr">
        <is>
          <t>Application</t>
        </is>
      </c>
      <c r="D212" s="12" t="inlineStr">
        <is>
          <t>Budget; Procurement (P2P spend)</t>
        </is>
      </c>
      <c r="E21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2" s="12" t="inlineStr">
        <is>
          <t>Authorization/Completeness</t>
        </is>
      </c>
      <c r="G21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2" s="13" t="inlineStr">
        <is>
          <t>Prev</t>
        </is>
      </c>
      <c r="I212" s="13" t="inlineStr">
        <is>
          <t>Automated</t>
        </is>
      </c>
      <c r="J212" s="13" t="inlineStr">
        <is>
          <t>Per approval</t>
        </is>
      </c>
      <c r="K212" s="12" t="inlineStr">
        <is>
          <t>Controller / FP&amp;A</t>
        </is>
      </c>
      <c r="L212" s="13" t="inlineStr">
        <is>
          <t>P10</t>
        </is>
      </c>
      <c r="M21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2" s="12" t="inlineStr">
        <is>
          <t>Inspect the availability formula (budget − actuals − open commitments), the policy switch + fail-open default, the exec-only override with mandatory reason, and the commitment lifecycle (reserve→consume/release).</t>
        </is>
      </c>
      <c r="O21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2" s="12" t="inlineStr">
        <is>
          <t>Budget-control policy + budget_commitments audit rows (override_by/override_reason)</t>
        </is>
      </c>
      <c r="Q212" s="18" t="inlineStr">
        <is>
          <t>Implemented</t>
        </is>
      </c>
    </row>
  </sheetData>
  <autoFilter ref="A1:Q2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COUNTIF(RCM!$Q$2:$Q$212,B5)</f>
        <v/>
      </c>
    </row>
    <row r="6">
      <c r="B6" s="27" t="inlineStr">
        <is>
          <t>Partial</t>
        </is>
      </c>
      <c r="C6" s="26">
        <f>COUNTIF(RCM!$Q$2:$Q$212,B6)</f>
        <v/>
      </c>
    </row>
    <row r="7">
      <c r="B7" s="28" t="inlineStr">
        <is>
          <t>Gap</t>
        </is>
      </c>
      <c r="C7" s="26">
        <f>COUNTIF(RCM!$Q$2:$Q$212,B7)</f>
        <v/>
      </c>
    </row>
    <row r="8">
      <c r="B8" s="29" t="inlineStr">
        <is>
          <t>Total</t>
        </is>
      </c>
      <c r="C8" s="29">
        <f>COUNTA(RCM!$A$2:$A$212)</f>
        <v/>
      </c>
    </row>
    <row r="10">
      <c r="B10" s="24" t="inlineStr">
        <is>
          <t>By Category</t>
        </is>
      </c>
    </row>
    <row r="11">
      <c r="B11" s="26" t="inlineStr">
        <is>
          <t>Entity</t>
        </is>
      </c>
      <c r="C11" s="26">
        <f>COUNTIF(RCM!$C$2:$C$212,B11)</f>
        <v/>
      </c>
    </row>
    <row r="12">
      <c r="B12" s="26" t="inlineStr">
        <is>
          <t>ITGC</t>
        </is>
      </c>
      <c r="C12" s="26">
        <f>COUNTIF(RCM!$C$2:$C$212,B12)</f>
        <v/>
      </c>
    </row>
    <row r="13">
      <c r="B13" s="26" t="inlineStr">
        <is>
          <t>Application</t>
        </is>
      </c>
      <c r="C13" s="26">
        <f>COUNTIF(RCM!$C$2:$C$212,B13)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BUD-01</t>
        </is>
      </c>
      <c r="B211" s="16" t="inlineStr">
        <is>
          <t>Budgeting &amp; Planning</t>
        </is>
      </c>
      <c r="C211" s="17" t="inlineStr">
        <is>
          <t>Application</t>
        </is>
      </c>
      <c r="D211" s="16" t="inlineStr">
        <is>
          <t>Budget; All (variance reporting)</t>
        </is>
      </c>
      <c r="E21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1" s="16" t="inlineStr">
        <is>
          <t>Authorization/Accuracy</t>
        </is>
      </c>
      <c r="G21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1" s="17" t="inlineStr">
        <is>
          <t>Prev</t>
        </is>
      </c>
      <c r="I211" s="17" t="inlineStr">
        <is>
          <t>Automated</t>
        </is>
      </c>
      <c r="J211" s="17" t="inlineStr">
        <is>
          <t>Per budget</t>
        </is>
      </c>
      <c r="K211" s="16" t="inlineStr">
        <is>
          <t>Controller / FP&amp;A</t>
        </is>
      </c>
      <c r="L211" s="17" t="inlineStr">
        <is>
          <t>P10</t>
        </is>
      </c>
      <c r="M211" s="16" t="inlineStr">
        <is>
          <t>budget.service.ts upsertBudget(→PendingApproval)/approveBudget/rejectBudget/budgetVsActual(Approved only); budget.controller.ts (budgets/approve|reject|pending gated approvals/gl_close); schema/budgets.ts budgets.status + migration 0142; cutover/budget.ts (ToE)</t>
        </is>
      </c>
      <c r="N211" s="16" t="inlineStr">
        <is>
          <t>Inspect the request→approve flow + the approver≠requester check + that budget-vs-actual counts Approved budgets only.</t>
        </is>
      </c>
      <c r="O211" s="16" t="inlineStr">
        <is>
          <t>Re-perform: upsert a budget (PendingApproval, excluded from variance), attempt self-approve (SOD_VIOLATION), approve as a different user, confirm it then appears in budget-vs-actual (re-performed by the budget harness).</t>
        </is>
      </c>
      <c r="P211" s="16" t="inlineStr">
        <is>
          <t>Budget approval log + SoD test</t>
        </is>
      </c>
      <c r="Q211" s="18" t="inlineStr">
        <is>
          <t>Implemented</t>
        </is>
      </c>
    </row>
    <row r="212">
      <c r="A212" s="11" t="inlineStr">
        <is>
          <t>BUD-02</t>
        </is>
      </c>
      <c r="B212" s="12" t="inlineStr">
        <is>
          <t>Budgeting &amp; Planning</t>
        </is>
      </c>
      <c r="C212" s="13" t="inlineStr">
        <is>
          <t>Application</t>
        </is>
      </c>
      <c r="D212" s="12" t="inlineStr">
        <is>
          <t>Budget; Procurement (P2P spend)</t>
        </is>
      </c>
      <c r="E21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2" s="12" t="inlineStr">
        <is>
          <t>Authorization/Completeness</t>
        </is>
      </c>
      <c r="G21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2" s="13" t="inlineStr">
        <is>
          <t>Prev</t>
        </is>
      </c>
      <c r="I212" s="13" t="inlineStr">
        <is>
          <t>Automated</t>
        </is>
      </c>
      <c r="J212" s="13" t="inlineStr">
        <is>
          <t>Per approval</t>
        </is>
      </c>
      <c r="K212" s="12" t="inlineStr">
        <is>
          <t>Controller / FP&amp;A</t>
        </is>
      </c>
      <c r="L212" s="13" t="inlineStr">
        <is>
          <t>P10</t>
        </is>
      </c>
      <c r="M21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2" s="12" t="inlineStr">
        <is>
          <t>Inspect the availability formula (budget − actuals − open commitments), the policy switch + fail-open default, the exec-only override with mandatory reason, and the commitment lifecycle (reserve→consume/release).</t>
        </is>
      </c>
      <c r="O21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2" s="12" t="inlineStr">
        <is>
          <t>Budget-control policy + budget_commitments audit rows (override_by/override_reason)</t>
        </is>
      </c>
      <c r="Q212" s="18" t="inlineStr">
        <is>
          <t>Implemented</t>
        </is>
      </c>
    </row>
  </sheetData>
  <autoFilter ref="A1:Q2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COUNTIF(RCM!$Q$2:$Q$212,B5)</f>
        <v/>
      </c>
    </row>
    <row r="6">
      <c r="B6" s="27" t="inlineStr">
        <is>
          <t>Partial</t>
        </is>
      </c>
      <c r="C6" s="26">
        <f>COUNTIF(RCM!$Q$2:$Q$212,B6)</f>
        <v/>
      </c>
    </row>
    <row r="7">
      <c r="B7" s="28" t="inlineStr">
        <is>
          <t>Gap</t>
        </is>
      </c>
      <c r="C7" s="26">
        <f>COUNTIF(RCM!$Q$2:$Q$212,B7)</f>
        <v/>
      </c>
    </row>
    <row r="8">
      <c r="B8" s="29" t="inlineStr">
        <is>
          <t>Total</t>
        </is>
      </c>
      <c r="C8" s="29">
        <f>COUNTA(RCM!$A$2:$A$212)</f>
        <v/>
      </c>
    </row>
    <row r="10">
      <c r="B10" s="24" t="inlineStr">
        <is>
          <t>By Category</t>
        </is>
      </c>
    </row>
    <row r="11">
      <c r="B11" s="26" t="inlineStr">
        <is>
          <t>Entity</t>
        </is>
      </c>
      <c r="C11" s="26">
        <f>COUNTIF(RCM!$C$2:$C$212,B11)</f>
        <v/>
      </c>
    </row>
    <row r="12">
      <c r="B12" s="26" t="inlineStr">
        <is>
          <t>ITGC</t>
        </is>
      </c>
      <c r="C12" s="26">
        <f>COUNTIF(RCM!$C$2:$C$212,B12)</f>
        <v/>
      </c>
    </row>
    <row r="13">
      <c r="B13" s="26" t="inlineStr">
        <is>
          <t>Application</t>
        </is>
      </c>
      <c r="C13" s="26">
        <f>COUNTIF(RCM!$C$2:$C$212,B13)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2026-07-10T12:34:21Z</dcterms:created>
  <dcterms:modified xmlns:dcterms="http://purl.org/dc/terms/" xmlns:xsi="http://www.w3.org/2001/XMLSchema-instance" xsi:type="dcterms:W3CDTF">2026-07-10T12:34:21Z</dcterms:modified>
</cp:coreProperties>
</file>