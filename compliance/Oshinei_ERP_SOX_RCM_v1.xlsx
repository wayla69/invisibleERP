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cutover/compliance.ts (ToE)</t>
        </is>
      </c>
      <c r="N41" s="16" t="inlineStr">
        <is>
          <t>Inspect AR sum + lock + limit logic.</t>
        </is>
      </c>
      <c r="O41" s="16" t="inlineStr">
        <is>
          <t>Sample: outstanding+order ≤ limit allowed, &gt; limit → CREDIT_LIMIT, credit-hold → CREDIT_HOLD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meters); eam.controller.ts; bi.service.ts (eam_pm_generate); cutover/basics.ts (ToE)</t>
        </is>
      </c>
      <c r="N52" s="12" t="inlineStr">
        <is>
          <t>Inspect WO lifecycle guard + PM due logic.</t>
        </is>
      </c>
      <c r="O52" s="12" t="inlineStr">
        <is>
          <t>Raise/complete a WO; PM sweep raises due preventive WOs (time + meter) and is idempotent (re-performed by the harness).</t>
        </is>
      </c>
      <c r="P52" s="12" t="inlineStr">
        <is>
          <t>Work-order log; PM schedule + sweep run log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(cashFlowStatement); ledger.controller.ts (GET cash-flow); cutover/basics.ts (ToE)</t>
        </is>
      </c>
      <c r="N63" s="16" t="inlineStr">
        <is>
          <t>Inspect SCF derivation + reconciliation flag.</t>
        </is>
      </c>
      <c r="O63" s="16" t="inlineStr">
        <is>
          <t>Run cash-flow over a seeded period — activities tie to the movement in cash; CLOSE excluded (re-performed by the harness).</t>
        </is>
      </c>
      <c r="P63" s="16" t="inlineStr">
        <is>
          <t>Cash-flow reconciliation</t>
        </is>
      </c>
      <c r="Q63" s="19" t="inlineStr">
        <is>
          <t>Implemented</t>
        </is>
      </c>
    </row>
    <row r="64">
      <c r="A64" s="11" t="inlineStr">
        <is>
          <t>REC-01</t>
        </is>
      </c>
      <c r="B64" s="12" t="inlineStr">
        <is>
          <t>Reconciliation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Subledgers diverge from GL undetected.</t>
        </is>
      </c>
      <c r="F64" s="12" t="inlineStr">
        <is>
          <t>Completeness/Accuracy</t>
        </is>
      </c>
      <c r="G64" s="12" t="inlineStr">
        <is>
          <t>Subledger-to-GL reconciliation per period: import GL, auto-match, certify (sign-off via 'approvals').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Monthly</t>
        </is>
      </c>
      <c r="K64" s="12" t="inlineStr">
        <is>
          <t>Controller</t>
        </is>
      </c>
      <c r="L64" s="13" t="inlineStr">
        <is>
          <t>P16</t>
        </is>
      </c>
      <c r="M64" s="12" t="inlineStr">
        <is>
          <t>reconciliation.service.ts (importGlItems/autoMatch/certify)</t>
        </is>
      </c>
      <c r="N64" s="12" t="inlineStr">
        <is>
          <t>Inspect recon + certify gate.</t>
        </is>
      </c>
      <c r="O64" s="12" t="inlineStr">
        <is>
          <t>Sample periods: reconciled, unmatched cleared, certified.</t>
        </is>
      </c>
      <c r="P64" s="12" t="inlineStr">
        <is>
          <t>Certified recon</t>
        </is>
      </c>
      <c r="Q64" s="19" t="inlineStr">
        <is>
          <t>Implemented</t>
        </is>
      </c>
    </row>
    <row r="65">
      <c r="A65" s="15" t="inlineStr">
        <is>
          <t>REC-02</t>
        </is>
      </c>
      <c r="B65" s="16" t="inlineStr">
        <is>
          <t>Reconciliation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Bank balance not reconciled to GL.</t>
        </is>
      </c>
      <c r="F65" s="16" t="inlineStr">
        <is>
          <t>Existence/Completeness</t>
        </is>
      </c>
      <c r="G65" s="16" t="inlineStr">
        <is>
          <t>Bank reconciliation against statements.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Monthly</t>
        </is>
      </c>
      <c r="K65" s="16" t="inlineStr">
        <is>
          <t>Controller</t>
        </is>
      </c>
      <c r="L65" s="17" t="inlineStr">
        <is>
          <t>P16</t>
        </is>
      </c>
      <c r="M65" s="16" t="inlineStr">
        <is>
          <t>bank module; drizzle/0015_bank_reconciliation</t>
        </is>
      </c>
      <c r="N65" s="16" t="inlineStr">
        <is>
          <t>Inspect bank-rec process.</t>
        </is>
      </c>
      <c r="O65" s="16" t="inlineStr">
        <is>
          <t>Sample months reconciled &amp; reviewed.</t>
        </is>
      </c>
      <c r="P65" s="16" t="inlineStr">
        <is>
          <t>Bank rec</t>
        </is>
      </c>
      <c r="Q65" s="19" t="inlineStr">
        <is>
          <t>Implemented</t>
        </is>
      </c>
    </row>
    <row r="66">
      <c r="A66" s="11" t="inlineStr">
        <is>
          <t>REC-03</t>
        </is>
      </c>
      <c r="B66" s="12" t="inlineStr">
        <is>
          <t>Reconciliation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Intercompany balances not eliminated/agreed.</t>
        </is>
      </c>
      <c r="F66" s="12" t="inlineStr">
        <is>
          <t>Accuracy</t>
        </is>
      </c>
      <c r="G66" s="12" t="inlineStr">
        <is>
          <t>Intercompany reconciliation &amp; elimination on consolidation.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P16</t>
        </is>
      </c>
      <c r="M66" s="12" t="inlineStr">
        <is>
          <t>intercompany; consolidation</t>
        </is>
      </c>
      <c r="N66" s="12" t="inlineStr">
        <is>
          <t>Inspect IC matching + elimination.</t>
        </is>
      </c>
      <c r="O66" s="12" t="inlineStr">
        <is>
          <t>Sample IC pairs agree &amp; eliminate.</t>
        </is>
      </c>
      <c r="P66" s="12" t="inlineStr">
        <is>
          <t>IC recon</t>
        </is>
      </c>
      <c r="Q66" s="18" t="inlineStr">
        <is>
          <t>Partial</t>
        </is>
      </c>
    </row>
    <row r="67">
      <c r="A67" s="15" t="inlineStr">
        <is>
          <t>TAX-01</t>
        </is>
      </c>
      <c r="B67" s="16" t="inlineStr">
        <is>
          <t>Tax</t>
        </is>
      </c>
      <c r="C67" s="17" t="inlineStr">
        <is>
          <t>Application</t>
        </is>
      </c>
      <c r="D67" s="16" t="inlineStr">
        <is>
          <t>Tax (VAT)</t>
        </is>
      </c>
      <c r="E67" s="16" t="inlineStr">
        <is>
          <t>VAT computed incorrectly → filing/penalty risk.</t>
        </is>
      </c>
      <c r="F67" s="16" t="inlineStr">
        <is>
          <t>Accuracy</t>
        </is>
      </c>
      <c r="G67" s="16" t="inlineStr">
        <is>
          <t>VAT via pluggable provider (TH 7%); unit-tested; no hard-coded rate.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Tax / Controller</t>
        </is>
      </c>
      <c r="L67" s="17" t="inlineStr">
        <is>
          <t>P10</t>
        </is>
      </c>
      <c r="M67" s="16" t="inlineStr">
        <is>
          <t>tax/tax-providers.ts; tax.service.ts; test/unit.test.ts</t>
        </is>
      </c>
      <c r="N67" s="16" t="inlineStr">
        <is>
          <t>Inspect rate provider + tests.</t>
        </is>
      </c>
      <c r="O67" s="16" t="inlineStr">
        <is>
          <t>Re-perform VAT on sample; tie to return.</t>
        </is>
      </c>
      <c r="P67" s="16" t="inlineStr">
        <is>
          <t>VAT tests</t>
        </is>
      </c>
      <c r="Q67" s="19" t="inlineStr">
        <is>
          <t>Implemented</t>
        </is>
      </c>
    </row>
    <row r="68">
      <c r="A68" s="11" t="inlineStr">
        <is>
          <t>TAX-02</t>
        </is>
      </c>
      <c r="B68" s="12" t="inlineStr">
        <is>
          <t>Tax</t>
        </is>
      </c>
      <c r="C68" s="13" t="inlineStr">
        <is>
          <t>Application</t>
        </is>
      </c>
      <c r="D68" s="12" t="inlineStr">
        <is>
          <t>Tax; Revenue</t>
        </is>
      </c>
      <c r="E68" s="12" t="inlineStr">
        <is>
          <t>Non-compliant e-Tax invoice / not transmitted to ETDA.</t>
        </is>
      </c>
      <c r="F68" s="12" t="inlineStr">
        <is>
          <t>Accuracy/Compliance</t>
        </is>
      </c>
      <c r="G68" s="12" t="inlineStr">
        <is>
          <t>e-Tax invoice (ETDA UBL 2.1 XML) generation + email with CC to ETDA timestamp mailbox.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Tax</t>
        </is>
      </c>
      <c r="L68" s="13" t="inlineStr">
        <is>
          <t>P10/P13</t>
        </is>
      </c>
      <c r="M68" s="12" t="inlineStr">
        <is>
          <t>tax-docs/etax-xml.ts; etax-email.service.ts (tested)</t>
        </is>
      </c>
      <c r="N68" s="12" t="inlineStr">
        <is>
          <t>Inspect XML schema + email composer.</t>
        </is>
      </c>
      <c r="O68" s="12" t="inlineStr">
        <is>
          <t>Sample invoices: valid XML, correct CC/escaping.</t>
        </is>
      </c>
      <c r="P68" s="12" t="inlineStr">
        <is>
          <t>e-Tax samples</t>
        </is>
      </c>
      <c r="Q68" s="19" t="inlineStr">
        <is>
          <t>Implemented</t>
        </is>
      </c>
    </row>
    <row r="69">
      <c r="A69" s="15" t="inlineStr">
        <is>
          <t>TAX-03</t>
        </is>
      </c>
      <c r="B69" s="16" t="inlineStr">
        <is>
          <t>Tax</t>
        </is>
      </c>
      <c r="C69" s="17" t="inlineStr">
        <is>
          <t>Application</t>
        </is>
      </c>
      <c r="D69" s="16" t="inlineStr">
        <is>
          <t>Tax (WHT)</t>
        </is>
      </c>
      <c r="E69" s="16" t="inlineStr">
        <is>
          <t>Withholding tax mis-computed / not reported.</t>
        </is>
      </c>
      <c r="F69" s="16" t="inlineStr">
        <is>
          <t>Accuracy</t>
        </is>
      </c>
      <c r="G69" s="16" t="inlineStr">
        <is>
          <t>WHT computation and ภ.ง.ด. reporting.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 / monthly</t>
        </is>
      </c>
      <c r="K69" s="16" t="inlineStr">
        <is>
          <t>Tax</t>
        </is>
      </c>
      <c r="L69" s="17" t="inlineStr">
        <is>
          <t>P10</t>
        </is>
      </c>
      <c r="M69" s="16" t="inlineStr">
        <is>
          <t>tax-reports; payroll</t>
        </is>
      </c>
      <c r="N69" s="16" t="inlineStr">
        <is>
          <t>Inspect WHT logic + report.</t>
        </is>
      </c>
      <c r="O69" s="16" t="inlineStr">
        <is>
          <t>Re-perform WHT on sample; tie to filing.</t>
        </is>
      </c>
      <c r="P69" s="16" t="inlineStr">
        <is>
          <t>WHT report</t>
        </is>
      </c>
      <c r="Q69" s="18" t="inlineStr">
        <is>
          <t>Partial</t>
        </is>
      </c>
    </row>
    <row r="70">
      <c r="A70" s="11" t="inlineStr">
        <is>
          <t>PAY-01</t>
        </is>
      </c>
      <c r="B70" s="12" t="inlineStr">
        <is>
          <t>Payroll</t>
        </is>
      </c>
      <c r="C70" s="13" t="inlineStr">
        <is>
          <t>Application</t>
        </is>
      </c>
      <c r="D70" s="12" t="inlineStr">
        <is>
          <t>Payroll expense/liability</t>
        </is>
      </c>
      <c r="E70" s="12" t="inlineStr">
        <is>
          <t>Payroll, SSO and PIT mis-computed.</t>
        </is>
      </c>
      <c r="F70" s="12" t="inlineStr">
        <is>
          <t>Accuracy</t>
        </is>
      </c>
      <c r="G70" s="12" t="inlineStr">
        <is>
          <t>Payroll engine — SSO 5% (cap 750), progressive PIT, payslip net; unit-tested.</t>
        </is>
      </c>
      <c r="H70" s="13" t="inlineStr">
        <is>
          <t>Auto</t>
        </is>
      </c>
      <c r="I70" s="13" t="inlineStr">
        <is>
          <t>Automated</t>
        </is>
      </c>
      <c r="J70" s="13" t="inlineStr">
        <is>
          <t>Per run</t>
        </is>
      </c>
      <c r="K70" s="12" t="inlineStr">
        <is>
          <t>HR / Payroll</t>
        </is>
      </c>
      <c r="L70" s="13" t="inlineStr">
        <is>
          <t>P10</t>
        </is>
      </c>
      <c r="M70" s="12" t="inlineStr">
        <is>
          <t>payroll/payroll-calc.ts; test/unit.test.ts</t>
        </is>
      </c>
      <c r="N70" s="12" t="inlineStr">
        <is>
          <t>Inspect calc + tests.</t>
        </is>
      </c>
      <c r="O70" s="12" t="inlineStr">
        <is>
          <t>Re-perform sample payslips.</t>
        </is>
      </c>
      <c r="P70" s="12" t="inlineStr">
        <is>
          <t>Payslip tests</t>
        </is>
      </c>
      <c r="Q70" s="19" t="inlineStr">
        <is>
          <t>Implemented</t>
        </is>
      </c>
    </row>
    <row r="71">
      <c r="A71" s="15" t="inlineStr">
        <is>
          <t>PAY-02</t>
        </is>
      </c>
      <c r="B71" s="16" t="inlineStr">
        <is>
          <t>Payroll</t>
        </is>
      </c>
      <c r="C71" s="17" t="inlineStr">
        <is>
          <t>Application</t>
        </is>
      </c>
      <c r="D71" s="16" t="inlineStr">
        <is>
          <t>Payroll liability</t>
        </is>
      </c>
      <c r="E71" s="16" t="inlineStr">
        <is>
          <t>Statutory items (PF/OT/leave/ภ.ง.ด.1ก) wrong.</t>
        </is>
      </c>
      <c r="F71" s="16" t="inlineStr">
        <is>
          <t>Accuracy/Compliance</t>
        </is>
      </c>
      <c r="G71" s="16" t="inlineStr">
        <is>
          <t>Provident fund, overtime, leave accrual and ภ.ง.ด.1ก reporting.</t>
        </is>
      </c>
      <c r="H71" s="17" t="inlineStr">
        <is>
          <t>Auto</t>
        </is>
      </c>
      <c r="I71" s="17" t="inlineStr">
        <is>
          <t>Automated</t>
        </is>
      </c>
      <c r="J71" s="17" t="inlineStr">
        <is>
          <t>Per run / monthly</t>
        </is>
      </c>
      <c r="K71" s="16" t="inlineStr">
        <is>
          <t>HR / Payroll</t>
        </is>
      </c>
      <c r="L71" s="17" t="inlineStr">
        <is>
          <t>P10</t>
        </is>
      </c>
      <c r="M71" s="16" t="inlineStr">
        <is>
          <t>hcm; payroll (Phase 19)</t>
        </is>
      </c>
      <c r="N71" s="16" t="inlineStr">
        <is>
          <t>Inspect statutory logic.</t>
        </is>
      </c>
      <c r="O71" s="16" t="inlineStr">
        <is>
          <t>Sample run tied to statutory filings.</t>
        </is>
      </c>
      <c r="P71" s="16" t="inlineStr">
        <is>
          <t>Filings</t>
        </is>
      </c>
      <c r="Q71" s="18" t="inlineStr">
        <is>
          <t>Partial</t>
        </is>
      </c>
    </row>
    <row r="72">
      <c r="A72" s="11" t="inlineStr">
        <is>
          <t>CON-01</t>
        </is>
      </c>
      <c r="B72" s="12" t="inlineStr">
        <is>
          <t>Consolidation &amp; FX</t>
        </is>
      </c>
      <c r="C72" s="13" t="inlineStr">
        <is>
          <t>Application</t>
        </is>
      </c>
      <c r="D72" s="12" t="inlineStr">
        <is>
          <t>Consolidation</t>
        </is>
      </c>
      <c r="E72" s="12" t="inlineStr">
        <is>
          <t>Group consolidation mis-stated (ownership/currency).</t>
        </is>
      </c>
      <c r="F72" s="12" t="inlineStr">
        <is>
          <t>Accuracy</t>
        </is>
      </c>
      <c r="G72" s="12" t="inlineStr">
        <is>
          <t>Consolidation run (ownership %, entity currency) gated by 'approvals'.</t>
        </is>
      </c>
      <c r="H72" s="13" t="inlineStr">
        <is>
          <t>Auto+Manual</t>
        </is>
      </c>
      <c r="I72" s="13" t="inlineStr">
        <is>
          <t>Period</t>
        </is>
      </c>
      <c r="J72" s="13" t="inlineStr">
        <is>
          <t>Period</t>
        </is>
      </c>
      <c r="K72" s="12" t="inlineStr">
        <is>
          <t>Group Controller</t>
        </is>
      </c>
      <c r="L72" s="13" t="inlineStr">
        <is>
          <t>P10</t>
        </is>
      </c>
      <c r="M72" s="12" t="inlineStr">
        <is>
          <t>consolidation.service.ts (runConsolidation @Permissions approvals)</t>
        </is>
      </c>
      <c r="N72" s="12" t="inlineStr">
        <is>
          <t>Inspect consolidation logic + gate.</t>
        </is>
      </c>
      <c r="O72" s="12" t="inlineStr">
        <is>
          <t>Sample period: consolidated TB ties to entities.</t>
        </is>
      </c>
      <c r="P72" s="12" t="inlineStr">
        <is>
          <t>Consol TB</t>
        </is>
      </c>
      <c r="Q72" s="19" t="inlineStr">
        <is>
          <t>Implemented</t>
        </is>
      </c>
    </row>
    <row r="73">
      <c r="A73" s="15" t="inlineStr">
        <is>
          <t>CON-02</t>
        </is>
      </c>
      <c r="B73" s="16" t="inlineStr">
        <is>
          <t>Consolidation &amp; FX</t>
        </is>
      </c>
      <c r="C73" s="17" t="inlineStr">
        <is>
          <t>Application</t>
        </is>
      </c>
      <c r="D73" s="16" t="inlineStr">
        <is>
          <t>FX gain/loss</t>
        </is>
      </c>
      <c r="E73" s="16" t="inlineStr">
        <is>
          <t>FX exposures not revalued at period-end.</t>
        </is>
      </c>
      <c r="F73" s="16" t="inlineStr">
        <is>
          <t>Valuation</t>
        </is>
      </c>
      <c r="G73" s="16" t="inlineStr">
        <is>
          <t>FX revaluation at period-end rates; unrealized FX posted (acct 5400).</t>
        </is>
      </c>
      <c r="H73" s="17" t="inlineStr">
        <is>
          <t>Auto+Manual</t>
        </is>
      </c>
      <c r="I73" s="17" t="inlineStr">
        <is>
          <t>Period-end</t>
        </is>
      </c>
      <c r="J73" s="17" t="inlineStr">
        <is>
          <t>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fx.service.ts (revalue / unrealized report)</t>
        </is>
      </c>
      <c r="N73" s="16" t="inlineStr">
        <is>
          <t>Inspect reval logic + rates.</t>
        </is>
      </c>
      <c r="O73" s="16" t="inlineStr">
        <is>
          <t>Recompute reval on sample balances.</t>
        </is>
      </c>
      <c r="P73" s="16" t="inlineStr">
        <is>
          <t>FX reval JE</t>
        </is>
      </c>
      <c r="Q73" s="19" t="inlineStr">
        <is>
          <t>Implemented</t>
        </is>
      </c>
    </row>
  </sheetData>
  <autoFilter ref="A1:Q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COUNTIF(RCM!$Q$2:$Q$73,B5)</f>
        <v/>
      </c>
    </row>
    <row r="6">
      <c r="B6" s="29" t="inlineStr">
        <is>
          <t>Partial</t>
        </is>
      </c>
      <c r="C6" s="28">
        <f>COUNTIF(RCM!$Q$2:$Q$73,B6)</f>
        <v/>
      </c>
    </row>
    <row r="7">
      <c r="B7" s="30" t="inlineStr">
        <is>
          <t>Gap</t>
        </is>
      </c>
      <c r="C7" s="28">
        <f>COUNTIF(RCM!$Q$2:$Q$73,B7)</f>
        <v/>
      </c>
    </row>
    <row r="8">
      <c r="B8" s="31" t="inlineStr">
        <is>
          <t>Total</t>
        </is>
      </c>
      <c r="C8" s="31">
        <f>COUNTA(RCM!$A$2:$A$73)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COUNTIF(RCM!$C$2:$C$73,B11)</f>
        <v/>
      </c>
    </row>
    <row r="12">
      <c r="B12" s="28" t="inlineStr">
        <is>
          <t>ITGC</t>
        </is>
      </c>
      <c r="C12" s="28">
        <f>COUNTIF(RCM!$C$2:$C$73,B12)</f>
        <v/>
      </c>
    </row>
    <row r="13">
      <c r="B13" s="28" t="inlineStr">
        <is>
          <t>Application</t>
        </is>
      </c>
      <c r="C13" s="28">
        <f>COUNTIF(RCM!$C$2:$C$73,B13)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2026-06-24T23:56:24Z</dcterms:created>
  <dcterms:modified xsi:type="dcterms:W3CDTF">2026-06-24T23:56:25Z</dcterms:modified>
</cp:coreProperties>
</file>