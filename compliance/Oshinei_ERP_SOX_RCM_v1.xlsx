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'RCM'!$A$1:$Q$233</definedName>
    <definedName name="_xlnm._FilterDatabase" localSheetId="2" hidden="1">'Gap Remediation'!$A$2:$H$5</definedName>
    <definedName name="_xlnm._FilterDatabase" localSheetId="5" hidden="1">'RCM1'!$A$1:$Q$233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HR-08</t>
        </is>
      </c>
      <c r="B229" s="16" t="inlineStr">
        <is>
          <t>Payroll</t>
        </is>
      </c>
      <c r="C229" s="17" t="inlineStr">
        <is>
          <t>Application</t>
        </is>
      </c>
      <c r="D229" s="16" t="inlineStr">
        <is>
          <t>Human Resources (employee master data); Payroll expense</t>
        </is>
      </c>
      <c r="E22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29" s="16" t="inlineStr">
        <is>
          <t>Authorization/Segregation of Duties</t>
        </is>
      </c>
      <c r="G22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29" s="17" t="inlineStr">
        <is>
          <t>Prev</t>
        </is>
      </c>
      <c r="I229" s="17" t="inlineStr">
        <is>
          <t>Automated</t>
        </is>
      </c>
      <c r="J229" s="17" t="inlineStr">
        <is>
          <t>Per profile change</t>
        </is>
      </c>
      <c r="K229" s="16" t="inlineStr">
        <is>
          <t>Employee (self-service); HR / HR Admin (approve)</t>
        </is>
      </c>
      <c r="L229" s="17" t="inlineStr">
        <is>
          <t>P10</t>
        </is>
      </c>
      <c r="M22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29" s="16" t="inlineStr">
        <is>
          <t>Inspect the sensitive-field pending gate, the approved_by != requested_by self-approval guard, the employee-master write only on approval, the ESSPROFILE before/after audit row, own-scope emp_code resolution from the JWT, and the isSafeObjectKey validation.</t>
        </is>
      </c>
      <c r="O22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29" s="16" t="inlineStr">
        <is>
          <t>ess_profile_change_requests approval log (SoD + before/after ESSPROFILE audit) + employee_documents register + own-scope isolation test</t>
        </is>
      </c>
      <c r="Q229" s="18" t="inlineStr">
        <is>
          <t>Implemented</t>
        </is>
      </c>
    </row>
    <row r="230">
      <c r="A230" s="11" t="inlineStr">
        <is>
          <t>HR-05</t>
        </is>
      </c>
      <c r="B230" s="12" t="inlineStr">
        <is>
          <t>Payroll</t>
        </is>
      </c>
      <c r="C230" s="13" t="inlineStr">
        <is>
          <t>Application</t>
        </is>
      </c>
      <c r="D230" s="12" t="inlineStr">
        <is>
          <t>Human Resources (joiner-mover-leaver / IT access)</t>
        </is>
      </c>
      <c r="E23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0" s="12" t="inlineStr">
        <is>
          <t>Authorization/Segregation of Duties</t>
        </is>
      </c>
      <c r="G23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0" s="13" t="inlineStr">
        <is>
          <t>Prev/Det</t>
        </is>
      </c>
      <c r="I230" s="13" t="inlineStr">
        <is>
          <t>Automated</t>
        </is>
      </c>
      <c r="J230" s="13" t="inlineStr">
        <is>
          <t>Per departure / periodic exception scan</t>
        </is>
      </c>
      <c r="K230" s="12" t="inlineStr">
        <is>
          <t>HR / People Ops; IT Security</t>
        </is>
      </c>
      <c r="L230" s="13" t="inlineStr">
        <is>
          <t>P10</t>
        </is>
      </c>
      <c r="M23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0" s="12" t="inlineStr">
        <is>
          <t>Inspect the access-revocation-pending count vs the completion gate, the hr_admin/exec + reason skip authorisation with its ACCESS_REVOCATION_SKIP audit row, and the offboarding-exceptions detective query.</t>
        </is>
      </c>
      <c r="O23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0" s="12" t="inlineStr">
        <is>
          <t>Offboarding checklist with the access-revocation completion gate + the ACCESS_REVOCATION_SKIP audit trail + the offboarding-exceptions exception register</t>
        </is>
      </c>
      <c r="Q230" s="18" t="inlineStr">
        <is>
          <t>Implemented</t>
        </is>
      </c>
    </row>
    <row r="231">
      <c r="A231" s="15" t="inlineStr">
        <is>
          <t>HR-04</t>
        </is>
      </c>
      <c r="B231" s="16" t="inlineStr">
        <is>
          <t>Payroll</t>
        </is>
      </c>
      <c r="C231" s="17" t="inlineStr">
        <is>
          <t>Application</t>
        </is>
      </c>
      <c r="D231" s="16" t="inlineStr">
        <is>
          <t>Human Resources (headcount / labour cost); Payroll expense</t>
        </is>
      </c>
      <c r="E23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1" s="16" t="inlineStr">
        <is>
          <t>Authorization/Segregation of Duties</t>
        </is>
      </c>
      <c r="G23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1" s="17" t="inlineStr">
        <is>
          <t>Prev</t>
        </is>
      </c>
      <c r="I231" s="17" t="inlineStr">
        <is>
          <t>Automated</t>
        </is>
      </c>
      <c r="J231" s="17" t="inlineStr">
        <is>
          <t>Per requisition / per offer / per hire</t>
        </is>
      </c>
      <c r="K231" s="16" t="inlineStr">
        <is>
          <t>HR / People Ops; Hiring Manager; Exec</t>
        </is>
      </c>
      <c r="L231" s="17" t="inlineStr">
        <is>
          <t>P10</t>
        </is>
      </c>
      <c r="M23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1" s="16" t="inlineStr">
        <is>
          <t>Inspect the requisition approve maker-checker (approver != requested_by), the requisition-approved gate on the offer/hire stages, the offer authorization (approver != created_by) before convert, and the headcount-bound hire that mints the employee.</t>
        </is>
      </c>
      <c r="O23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1" s="16" t="inlineStr">
        <is>
          <t>Requisition + offer approval log (JOBREQ/OFFER) + the recruiting register (requisitions/candidates/applications/offers); SoD + headcount test</t>
        </is>
      </c>
      <c r="Q231" s="18" t="inlineStr">
        <is>
          <t>Implemented</t>
        </is>
      </c>
    </row>
    <row r="232">
      <c r="A232" s="11" t="inlineStr">
        <is>
          <t>HR-09</t>
        </is>
      </c>
      <c r="B232" s="12" t="inlineStr">
        <is>
          <t>Payroll</t>
        </is>
      </c>
      <c r="C232" s="13" t="inlineStr">
        <is>
          <t>Application</t>
        </is>
      </c>
      <c r="D232" s="12" t="inlineStr">
        <is>
          <t>Human Resources; Workforce cost &amp; governance</t>
        </is>
      </c>
      <c r="E23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2" s="12" t="inlineStr">
        <is>
          <t>Monitoring/Analytical review</t>
        </is>
      </c>
      <c r="G23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2" s="13" t="inlineStr">
        <is>
          <t>Det</t>
        </is>
      </c>
      <c r="I232" s="13" t="inlineStr">
        <is>
          <t>Automated</t>
        </is>
      </c>
      <c r="J232" s="13" t="inlineStr">
        <is>
          <t>Periodic (scheduled workforce review — monthly/quarterly)</t>
        </is>
      </c>
      <c r="K232" s="12" t="inlineStr">
        <is>
          <t>HR / People Ops; Exec / Board</t>
        </is>
      </c>
      <c r="L232" s="13" t="inlineStr">
        <is>
          <t>P11</t>
        </is>
      </c>
      <c r="M23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2" s="12" t="inlineStr">
        <is>
          <t>Inspect that each report type is an idempotent read (no writes), is tenant-scoped (a T2 run returns only T2's workforce), and that the comp-ratio out-of-band flag and the leave-liability valuation reconcile to the pay_grades bands and leave_balances.</t>
        </is>
      </c>
      <c r="O23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2" s="12" t="inlineStr">
        <is>
          <t>The persisted report_runs payloads for the five workforce-analytics report types (headcount/turnover/tenure/comp-ratio/leave-liability) + the scheduled-report subscriptions</t>
        </is>
      </c>
      <c r="Q232" s="18" t="inlineStr">
        <is>
          <t>Implemented</t>
        </is>
      </c>
    </row>
    <row r="233">
      <c r="A233" s="15" t="inlineStr">
        <is>
          <t>HR-07</t>
        </is>
      </c>
      <c r="B233" s="16" t="inlineStr">
        <is>
          <t>Payroll</t>
        </is>
      </c>
      <c r="C233" s="17" t="inlineStr">
        <is>
          <t>Application</t>
        </is>
      </c>
      <c r="D233" s="16" t="inlineStr">
        <is>
          <t>Human Resources (mandatory training / competency); Compliance</t>
        </is>
      </c>
      <c r="E23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3" s="16" t="inlineStr">
        <is>
          <t>Completeness/Accuracy</t>
        </is>
      </c>
      <c r="G23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3" s="17" t="inlineStr">
        <is>
          <t>Prev/Det</t>
        </is>
      </c>
      <c r="I233" s="17" t="inlineStr">
        <is>
          <t>Automated</t>
        </is>
      </c>
      <c r="J233" s="17" t="inlineStr">
        <is>
          <t>Per completion; periodic compliance review</t>
        </is>
      </c>
      <c r="K233" s="16" t="inlineStr">
        <is>
          <t>HR / People Ops; HR Admin / Exec</t>
        </is>
      </c>
      <c r="L233" s="17" t="inlineStr">
        <is>
          <t>P10</t>
        </is>
      </c>
      <c r="M23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3" s="16" t="inlineStr">
        <is>
          <t>Training register (courses/sessions/enrollments) + certification register with expiry + the TRAINCERT mint log + the expired/expiring compliance report</t>
        </is>
      </c>
      <c r="Q233" s="18" t="inlineStr">
        <is>
          <t>Implemented</t>
        </is>
      </c>
    </row>
  </sheetData>
  <autoFilter ref="A1:Q2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COUNTIF(RCM!$Q$2:$Q$233,B5)</f>
        <v/>
      </c>
    </row>
    <row r="6">
      <c r="B6" s="27" t="inlineStr">
        <is>
          <t>Partial</t>
        </is>
      </c>
      <c r="C6" s="26">
        <f>COUNTIF(RCM!$Q$2:$Q$233,B6)</f>
        <v/>
      </c>
    </row>
    <row r="7">
      <c r="B7" s="28" t="inlineStr">
        <is>
          <t>Gap</t>
        </is>
      </c>
      <c r="C7" s="26">
        <f>COUNTIF(RCM!$Q$2:$Q$233,B7)</f>
        <v/>
      </c>
    </row>
    <row r="8">
      <c r="B8" s="29" t="inlineStr">
        <is>
          <t>Total</t>
        </is>
      </c>
      <c r="C8" s="29">
        <f>COUNTA(RCM!$A$2:$A$233)</f>
        <v/>
      </c>
    </row>
    <row r="10">
      <c r="B10" s="24" t="inlineStr">
        <is>
          <t>By Category</t>
        </is>
      </c>
    </row>
    <row r="11">
      <c r="B11" s="26" t="inlineStr">
        <is>
          <t>Entity</t>
        </is>
      </c>
      <c r="C11" s="26">
        <f>COUNTIF(RCM!$C$2:$C$233,B11)</f>
        <v/>
      </c>
    </row>
    <row r="12">
      <c r="B12" s="26" t="inlineStr">
        <is>
          <t>ITGC</t>
        </is>
      </c>
      <c r="C12" s="26">
        <f>COUNTIF(RCM!$C$2:$C$233,B12)</f>
        <v/>
      </c>
    </row>
    <row r="13">
      <c r="B13" s="26" t="inlineStr">
        <is>
          <t>Application</t>
        </is>
      </c>
      <c r="C13" s="26">
        <f>COUNTIF(RCM!$C$2:$C$233,B13)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HR-08</t>
        </is>
      </c>
      <c r="B229" s="16" t="inlineStr">
        <is>
          <t>Payroll</t>
        </is>
      </c>
      <c r="C229" s="17" t="inlineStr">
        <is>
          <t>Application</t>
        </is>
      </c>
      <c r="D229" s="16" t="inlineStr">
        <is>
          <t>Human Resources (employee master data); Payroll expense</t>
        </is>
      </c>
      <c r="E22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29" s="16" t="inlineStr">
        <is>
          <t>Authorization/Segregation of Duties</t>
        </is>
      </c>
      <c r="G22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29" s="17" t="inlineStr">
        <is>
          <t>Prev</t>
        </is>
      </c>
      <c r="I229" s="17" t="inlineStr">
        <is>
          <t>Automated</t>
        </is>
      </c>
      <c r="J229" s="17" t="inlineStr">
        <is>
          <t>Per profile change</t>
        </is>
      </c>
      <c r="K229" s="16" t="inlineStr">
        <is>
          <t>Employee (self-service); HR / HR Admin (approve)</t>
        </is>
      </c>
      <c r="L229" s="17" t="inlineStr">
        <is>
          <t>P10</t>
        </is>
      </c>
      <c r="M22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29" s="16" t="inlineStr">
        <is>
          <t>Inspect the sensitive-field pending gate, the approved_by != requested_by self-approval guard, the employee-master write only on approval, the ESSPROFILE before/after audit row, own-scope emp_code resolution from the JWT, and the isSafeObjectKey validation.</t>
        </is>
      </c>
      <c r="O22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29" s="16" t="inlineStr">
        <is>
          <t>ess_profile_change_requests approval log (SoD + before/after ESSPROFILE audit) + employee_documents register + own-scope isolation test</t>
        </is>
      </c>
      <c r="Q229" s="18" t="inlineStr">
        <is>
          <t>Implemented</t>
        </is>
      </c>
    </row>
    <row r="230">
      <c r="A230" s="11" t="inlineStr">
        <is>
          <t>HR-05</t>
        </is>
      </c>
      <c r="B230" s="12" t="inlineStr">
        <is>
          <t>Payroll</t>
        </is>
      </c>
      <c r="C230" s="13" t="inlineStr">
        <is>
          <t>Application</t>
        </is>
      </c>
      <c r="D230" s="12" t="inlineStr">
        <is>
          <t>Human Resources (joiner-mover-leaver / IT access)</t>
        </is>
      </c>
      <c r="E23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0" s="12" t="inlineStr">
        <is>
          <t>Authorization/Segregation of Duties</t>
        </is>
      </c>
      <c r="G23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0" s="13" t="inlineStr">
        <is>
          <t>Prev/Det</t>
        </is>
      </c>
      <c r="I230" s="13" t="inlineStr">
        <is>
          <t>Automated</t>
        </is>
      </c>
      <c r="J230" s="13" t="inlineStr">
        <is>
          <t>Per departure / periodic exception scan</t>
        </is>
      </c>
      <c r="K230" s="12" t="inlineStr">
        <is>
          <t>HR / People Ops; IT Security</t>
        </is>
      </c>
      <c r="L230" s="13" t="inlineStr">
        <is>
          <t>P10</t>
        </is>
      </c>
      <c r="M23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0" s="12" t="inlineStr">
        <is>
          <t>Inspect the access-revocation-pending count vs the completion gate, the hr_admin/exec + reason skip authorisation with its ACCESS_REVOCATION_SKIP audit row, and the offboarding-exceptions detective query.</t>
        </is>
      </c>
      <c r="O23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0" s="12" t="inlineStr">
        <is>
          <t>Offboarding checklist with the access-revocation completion gate + the ACCESS_REVOCATION_SKIP audit trail + the offboarding-exceptions exception register</t>
        </is>
      </c>
      <c r="Q230" s="18" t="inlineStr">
        <is>
          <t>Implemented</t>
        </is>
      </c>
    </row>
    <row r="231">
      <c r="A231" s="15" t="inlineStr">
        <is>
          <t>HR-04</t>
        </is>
      </c>
      <c r="B231" s="16" t="inlineStr">
        <is>
          <t>Payroll</t>
        </is>
      </c>
      <c r="C231" s="17" t="inlineStr">
        <is>
          <t>Application</t>
        </is>
      </c>
      <c r="D231" s="16" t="inlineStr">
        <is>
          <t>Human Resources (headcount / labour cost); Payroll expense</t>
        </is>
      </c>
      <c r="E23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1" s="16" t="inlineStr">
        <is>
          <t>Authorization/Segregation of Duties</t>
        </is>
      </c>
      <c r="G23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1" s="17" t="inlineStr">
        <is>
          <t>Prev</t>
        </is>
      </c>
      <c r="I231" s="17" t="inlineStr">
        <is>
          <t>Automated</t>
        </is>
      </c>
      <c r="J231" s="17" t="inlineStr">
        <is>
          <t>Per requisition / per offer / per hire</t>
        </is>
      </c>
      <c r="K231" s="16" t="inlineStr">
        <is>
          <t>HR / People Ops; Hiring Manager; Exec</t>
        </is>
      </c>
      <c r="L231" s="17" t="inlineStr">
        <is>
          <t>P10</t>
        </is>
      </c>
      <c r="M23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1" s="16" t="inlineStr">
        <is>
          <t>Inspect the requisition approve maker-checker (approver != requested_by), the requisition-approved gate on the offer/hire stages, the offer authorization (approver != created_by) before convert, and the headcount-bound hire that mints the employee.</t>
        </is>
      </c>
      <c r="O23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1" s="16" t="inlineStr">
        <is>
          <t>Requisition + offer approval log (JOBREQ/OFFER) + the recruiting register (requisitions/candidates/applications/offers); SoD + headcount test</t>
        </is>
      </c>
      <c r="Q231" s="18" t="inlineStr">
        <is>
          <t>Implemented</t>
        </is>
      </c>
    </row>
    <row r="232">
      <c r="A232" s="11" t="inlineStr">
        <is>
          <t>HR-09</t>
        </is>
      </c>
      <c r="B232" s="12" t="inlineStr">
        <is>
          <t>Payroll</t>
        </is>
      </c>
      <c r="C232" s="13" t="inlineStr">
        <is>
          <t>Application</t>
        </is>
      </c>
      <c r="D232" s="12" t="inlineStr">
        <is>
          <t>Human Resources; Workforce cost &amp; governance</t>
        </is>
      </c>
      <c r="E23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2" s="12" t="inlineStr">
        <is>
          <t>Monitoring/Analytical review</t>
        </is>
      </c>
      <c r="G23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2" s="13" t="inlineStr">
        <is>
          <t>Det</t>
        </is>
      </c>
      <c r="I232" s="13" t="inlineStr">
        <is>
          <t>Automated</t>
        </is>
      </c>
      <c r="J232" s="13" t="inlineStr">
        <is>
          <t>Periodic (scheduled workforce review — monthly/quarterly)</t>
        </is>
      </c>
      <c r="K232" s="12" t="inlineStr">
        <is>
          <t>HR / People Ops; Exec / Board</t>
        </is>
      </c>
      <c r="L232" s="13" t="inlineStr">
        <is>
          <t>P11</t>
        </is>
      </c>
      <c r="M23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2" s="12" t="inlineStr">
        <is>
          <t>Inspect that each report type is an idempotent read (no writes), is tenant-scoped (a T2 run returns only T2's workforce), and that the comp-ratio out-of-band flag and the leave-liability valuation reconcile to the pay_grades bands and leave_balances.</t>
        </is>
      </c>
      <c r="O23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2" s="12" t="inlineStr">
        <is>
          <t>The persisted report_runs payloads for the five workforce-analytics report types (headcount/turnover/tenure/comp-ratio/leave-liability) + the scheduled-report subscriptions</t>
        </is>
      </c>
      <c r="Q232" s="18" t="inlineStr">
        <is>
          <t>Implemented</t>
        </is>
      </c>
    </row>
    <row r="233">
      <c r="A233" s="15" t="inlineStr">
        <is>
          <t>HR-07</t>
        </is>
      </c>
      <c r="B233" s="16" t="inlineStr">
        <is>
          <t>Payroll</t>
        </is>
      </c>
      <c r="C233" s="17" t="inlineStr">
        <is>
          <t>Application</t>
        </is>
      </c>
      <c r="D233" s="16" t="inlineStr">
        <is>
          <t>Human Resources (mandatory training / competency); Compliance</t>
        </is>
      </c>
      <c r="E23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3" s="16" t="inlineStr">
        <is>
          <t>Completeness/Accuracy</t>
        </is>
      </c>
      <c r="G23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3" s="17" t="inlineStr">
        <is>
          <t>Prev/Det</t>
        </is>
      </c>
      <c r="I233" s="17" t="inlineStr">
        <is>
          <t>Automated</t>
        </is>
      </c>
      <c r="J233" s="17" t="inlineStr">
        <is>
          <t>Per completion; periodic compliance review</t>
        </is>
      </c>
      <c r="K233" s="16" t="inlineStr">
        <is>
          <t>HR / People Ops; HR Admin / Exec</t>
        </is>
      </c>
      <c r="L233" s="17" t="inlineStr">
        <is>
          <t>P10</t>
        </is>
      </c>
      <c r="M23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3" s="16" t="inlineStr">
        <is>
          <t>Training register (courses/sessions/enrollments) + certification register with expiry + the TRAINCERT mint log + the expired/expiring compliance report</t>
        </is>
      </c>
      <c r="Q233" s="18" t="inlineStr">
        <is>
          <t>Implemented</t>
        </is>
      </c>
    </row>
  </sheetData>
  <autoFilter ref="A1:Q23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COUNTIF(RCM!$Q$2:$Q$233,B5)</f>
        <v/>
      </c>
    </row>
    <row r="6">
      <c r="B6" s="27" t="inlineStr">
        <is>
          <t>Partial</t>
        </is>
      </c>
      <c r="C6" s="26">
        <f>COUNTIF(RCM!$Q$2:$Q$233,B6)</f>
        <v/>
      </c>
    </row>
    <row r="7">
      <c r="B7" s="28" t="inlineStr">
        <is>
          <t>Gap</t>
        </is>
      </c>
      <c r="C7" s="26">
        <f>COUNTIF(RCM!$Q$2:$Q$233,B7)</f>
        <v/>
      </c>
    </row>
    <row r="8">
      <c r="B8" s="29" t="inlineStr">
        <is>
          <t>Total</t>
        </is>
      </c>
      <c r="C8" s="29">
        <f>COUNTA(RCM!$A$2:$A$233)</f>
        <v/>
      </c>
    </row>
    <row r="10">
      <c r="B10" s="24" t="inlineStr">
        <is>
          <t>By Category</t>
        </is>
      </c>
    </row>
    <row r="11">
      <c r="B11" s="26" t="inlineStr">
        <is>
          <t>Entity</t>
        </is>
      </c>
      <c r="C11" s="26">
        <f>COUNTIF(RCM!$C$2:$C$233,B11)</f>
        <v/>
      </c>
    </row>
    <row r="12">
      <c r="B12" s="26" t="inlineStr">
        <is>
          <t>ITGC</t>
        </is>
      </c>
      <c r="C12" s="26">
        <f>COUNTIF(RCM!$C$2:$C$233,B12)</f>
        <v/>
      </c>
    </row>
    <row r="13">
      <c r="B13" s="26" t="inlineStr">
        <is>
          <t>Application</t>
        </is>
      </c>
      <c r="C13" s="26">
        <f>COUNTIF(RCM!$C$2:$C$233,B13)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2026-07-11T06:26:40Z</dcterms:created>
  <dcterms:modified xsi:type="dcterms:W3CDTF">2026-07-11T06:26:40Z</dcterms:modified>
</cp:coreProperties>
</file>