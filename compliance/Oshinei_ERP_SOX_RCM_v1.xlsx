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'RCM'!$A$1:$Q$274</definedName>
    <definedName name="_xlnm._FilterDatabase" localSheetId="2" hidden="1">'Gap Remediation'!$A$2:$H$5</definedName>
    <definedName name="_xlnm._FilterDatabase" localSheetId="5" hidden="1">'RCM1'!$A$1:$Q$274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0379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PROJ-19</t>
        </is>
      </c>
      <c r="B174" s="12" t="inlineStr">
        <is>
          <t>Project Accounting</t>
        </is>
      </c>
      <c r="C174" s="13" t="inlineStr">
        <is>
          <t>Detective</t>
        </is>
      </c>
      <c r="D174" s="12" t="inlineStr">
        <is>
          <t>Project schedule performance (earned schedule)</t>
        </is>
      </c>
      <c r="E17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4" s="12" t="inlineStr">
        <is>
          <t>Completeness/Timeliness</t>
        </is>
      </c>
      <c r="G17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4" s="13" t="inlineStr">
        <is>
          <t>Det</t>
        </is>
      </c>
      <c r="I174" s="13" t="inlineStr">
        <is>
          <t>Automated</t>
        </is>
      </c>
      <c r="J174" s="13" t="inlineStr">
        <is>
          <t>Continuous / per review</t>
        </is>
      </c>
      <c r="K174" s="12" t="inlineStr">
        <is>
          <t>PMO / ProjectController</t>
        </is>
      </c>
      <c r="L174" s="13" t="inlineStr">
        <is>
          <t>P13</t>
        </is>
      </c>
      <c r="M17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4" s="12" t="inlineStr">
        <is>
          <t>Inspect the ES interpolation (last cumulative-PV ≤ EV month + within-month fraction, plateau credited), the AT month arithmetic, the SPI(t)/SV(t)/forecast derivation, and the action-center gate (fires only when the project is not already red).</t>
        </is>
      </c>
      <c r="O17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4" s="12" t="inlineStr">
        <is>
          <t>Earned-schedule endpoint payload (ES/AT/SV(t)/SPI(t)/forecast finish); the schedule_slip_es action-center item</t>
        </is>
      </c>
      <c r="Q174" s="18" t="inlineStr">
        <is>
          <t>Implemented</t>
        </is>
      </c>
    </row>
    <row r="175">
      <c r="A175" s="15" t="inlineStr">
        <is>
          <t>RE-01</t>
        </is>
      </c>
      <c r="B175" s="16" t="inlineStr">
        <is>
          <t>Real Estate</t>
        </is>
      </c>
      <c r="C175" s="17" t="inlineStr">
        <is>
          <t>Application</t>
        </is>
      </c>
      <c r="D175" s="16" t="inlineStr">
        <is>
          <t>Unit inventory (double-allocation)</t>
        </is>
      </c>
      <c r="E175" s="16" t="inlineStr">
        <is>
          <t>A property developer sells the SAME unit twice — a unit already reserved/contracted is booked or contracted again to another buyer, so two buyers hold a claim on one unit and the availability grid overstates inventory.</t>
        </is>
      </c>
      <c r="F175" s="16" t="inlineStr">
        <is>
          <t>Completeness/Accuracy</t>
        </is>
      </c>
      <c r="G17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5" s="17" t="inlineStr">
        <is>
          <t>Prev</t>
        </is>
      </c>
      <c r="I175" s="17" t="inlineStr">
        <is>
          <t>Automated</t>
        </is>
      </c>
      <c r="J175" s="17" t="inlineStr">
        <is>
          <t>Per booking / contract</t>
        </is>
      </c>
      <c r="K175" s="16" t="inlineStr">
        <is>
          <t>Sales / Developer Ops</t>
        </is>
      </c>
      <c r="L175" s="17" t="inlineStr">
        <is>
          <t>P13</t>
        </is>
      </c>
      <c r="M17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5" s="16" t="inlineStr">
        <is>
          <t>Inspect the unit status machine (available→reserved→contracted), the booking/contract admission guards, and the availability grid tie-out.</t>
        </is>
      </c>
      <c r="O175" s="16" t="inlineStr">
        <is>
          <t>Re-perform: book an available unit → reserved; re-book it → UNIT_NOT_AVAILABLE; contract it → contracted; contract it again → UNIT_NOT_CONTRACTABLE; the availability summary reflects the counts (re-performed by the projects harness).</t>
        </is>
      </c>
      <c r="P175" s="16" t="inlineStr">
        <is>
          <t>Unit availability grid; booking/contract admission log</t>
        </is>
      </c>
      <c r="Q175" s="18" t="inlineStr">
        <is>
          <t>Implemented</t>
        </is>
      </c>
    </row>
    <row r="176">
      <c r="A176" s="11" t="inlineStr">
        <is>
          <t>RE-02</t>
        </is>
      </c>
      <c r="B176" s="12" t="inlineStr">
        <is>
          <t>Real Estate</t>
        </is>
      </c>
      <c r="C176" s="13" t="inlineStr">
        <is>
          <t>Application</t>
        </is>
      </c>
      <c r="D176" s="12" t="inlineStr">
        <is>
          <t>Sale contract (price/discount authority)</t>
        </is>
      </c>
      <c r="E176" s="12" t="inlineStr">
        <is>
          <t>A unit is sold at an unauthorised price — a large discount is granted and the contract self-approved by the salesperson (e.g. to a related buyer), with no independent authorisation of the price/discount before the sale is booked and cash is taken.</t>
        </is>
      </c>
      <c r="F176" s="12" t="inlineStr">
        <is>
          <t>Authorization/Segregation of Duties</t>
        </is>
      </c>
      <c r="G17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6" s="13" t="inlineStr">
        <is>
          <t>Prev</t>
        </is>
      </c>
      <c r="I176" s="13" t="inlineStr">
        <is>
          <t>Automated</t>
        </is>
      </c>
      <c r="J176" s="13" t="inlineStr">
        <is>
          <t>Per sale contract</t>
        </is>
      </c>
      <c r="K176" s="12" t="inlineStr">
        <is>
          <t>Sales Manager / Developer Controller (segregated)</t>
        </is>
      </c>
      <c r="L176" s="13" t="inlineStr">
        <is>
          <t>P13</t>
        </is>
      </c>
      <c r="M17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6" s="12" t="inlineStr">
        <is>
          <t>Inspect the price/discount bounds, the draft-then-approve maker-checker (approver ≠ drafter), and the down-payment → contract-liability posting on approval.</t>
        </is>
      </c>
      <c r="O17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6" s="12" t="inlineStr">
        <is>
          <t>Contract register (draft/active); the down-payment JE (1000/2210/2410); installment schedule</t>
        </is>
      </c>
      <c r="Q176" s="18" t="inlineStr">
        <is>
          <t>Implemented</t>
        </is>
      </c>
    </row>
    <row r="177">
      <c r="A177" s="15" t="inlineStr">
        <is>
          <t>RE-03</t>
        </is>
      </c>
      <c r="B177" s="16" t="inlineStr">
        <is>
          <t>Real Estate</t>
        </is>
      </c>
      <c r="C177" s="17" t="inlineStr">
        <is>
          <t>Application</t>
        </is>
      </c>
      <c r="D177" s="16" t="inlineStr">
        <is>
          <t>Installment application</t>
        </is>
      </c>
      <c r="E177" s="16" t="inlineStr">
        <is>
          <t>An installment receipt is misapplied — a paid installment is paid again (double receipt), or an amount other than the scheduled installment is applied, so the buyer's balance and the contract-liability control are wrong.</t>
        </is>
      </c>
      <c r="F177" s="16" t="inlineStr">
        <is>
          <t>Accuracy/Completeness</t>
        </is>
      </c>
      <c r="G17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7" s="17" t="inlineStr">
        <is>
          <t>Prev</t>
        </is>
      </c>
      <c r="I177" s="17" t="inlineStr">
        <is>
          <t>Automated</t>
        </is>
      </c>
      <c r="J177" s="17" t="inlineStr">
        <is>
          <t>Per installment receipt</t>
        </is>
      </c>
      <c r="K177" s="16" t="inlineStr">
        <is>
          <t>AR / Sales</t>
        </is>
      </c>
      <c r="L177" s="17" t="inlineStr">
        <is>
          <t>P13</t>
        </is>
      </c>
      <c r="M17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7" s="16" t="inlineStr">
        <is>
          <t>Inspect the pay-once / exact-amount guards, the cash → contract-liability posting, and the paid/outstanding rollup.</t>
        </is>
      </c>
      <c r="O177" s="16" t="inlineStr">
        <is>
          <t>Re-perform: pay an installment for its exact amount → paid + Dr 1000 / Cr 2410; pay it again → INSTALLMENT_PAID; pay a wrong amount → BAD_AMOUNT; the contract outstanding falls by the paid amount (re-performed by the projects harness).</t>
        </is>
      </c>
      <c r="P177" s="16" t="inlineStr">
        <is>
          <t>Installment schedule (paid/pending); receipt JEs (1000/2410); outstanding rollup</t>
        </is>
      </c>
      <c r="Q177" s="18" t="inlineStr">
        <is>
          <t>Implemented</t>
        </is>
      </c>
    </row>
    <row r="178">
      <c r="A178" s="11" t="inlineStr">
        <is>
          <t>RE-04</t>
        </is>
      </c>
      <c r="B178" s="12" t="inlineStr">
        <is>
          <t>Real Estate</t>
        </is>
      </c>
      <c r="C178" s="13" t="inlineStr">
        <is>
          <t>Application</t>
        </is>
      </c>
      <c r="D178" s="12" t="inlineStr">
        <is>
          <t>Ownership transfer / revenue recognition</t>
        </is>
      </c>
      <c r="E17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8" s="12" t="inlineStr">
        <is>
          <t>Accuracy/Cutoff/Authorization</t>
        </is>
      </c>
      <c r="G17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8" s="13" t="inlineStr">
        <is>
          <t>Prev</t>
        </is>
      </c>
      <c r="I178" s="13" t="inlineStr">
        <is>
          <t>Automated</t>
        </is>
      </c>
      <c r="J178" s="13" t="inlineStr">
        <is>
          <t>Per ownership transfer</t>
        </is>
      </c>
      <c r="K178" s="12" t="inlineStr">
        <is>
          <t>Developer Controller / Legal (segregated on the settled-only gate)</t>
        </is>
      </c>
      <c r="L178" s="13" t="inlineStr">
        <is>
          <t>P13</t>
        </is>
      </c>
      <c r="M17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8" s="12" t="inlineStr">
        <is>
          <t>Inspect the settled-only + authorised transfer gate, the deferred-revenue recognition (2410 → 4200), and the unit-cost relief (5800 ← 1200).</t>
        </is>
      </c>
      <c r="O17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8" s="12" t="inlineStr">
        <is>
          <t>Transferred contracts + the revenue-recognition JE (2410/4200/5800/1200)</t>
        </is>
      </c>
      <c r="Q178" s="18" t="inlineStr">
        <is>
          <t>Implemented</t>
        </is>
      </c>
    </row>
    <row r="179">
      <c r="A179" s="15" t="inlineStr">
        <is>
          <t>GL-01</t>
        </is>
      </c>
      <c r="B179" s="16" t="inlineStr">
        <is>
          <t>General Ledger</t>
        </is>
      </c>
      <c r="C179" s="17" t="inlineStr">
        <is>
          <t>Application</t>
        </is>
      </c>
      <c r="D179" s="16" t="inlineStr">
        <is>
          <t>All</t>
        </is>
      </c>
      <c r="E179" s="16" t="inlineStr">
        <is>
          <t>Unbalanced / one-sided journal entries.</t>
        </is>
      </c>
      <c r="F179" s="16" t="inlineStr">
        <is>
          <t>Accuracy</t>
        </is>
      </c>
      <c r="G179" s="16" t="inlineStr">
        <is>
          <t>Double-entry balanced-by-construction — Σdebit=Σcredit enforced; each line single-sided &amp; non-negative.</t>
        </is>
      </c>
      <c r="H179" s="17" t="inlineStr">
        <is>
          <t>Prev</t>
        </is>
      </c>
      <c r="I179" s="17" t="inlineStr">
        <is>
          <t>Automated</t>
        </is>
      </c>
      <c r="J179" s="17" t="inlineStr">
        <is>
          <t>Per JE</t>
        </is>
      </c>
      <c r="K179" s="16" t="inlineStr">
        <is>
          <t>Controller</t>
        </is>
      </c>
      <c r="L179" s="17" t="inlineStr">
        <is>
          <t>P10</t>
        </is>
      </c>
      <c r="M179" s="16" t="inlineStr">
        <is>
          <t>ledger.service.ts (postEntry — UNBALANCED / INVALID_LINE)</t>
        </is>
      </c>
      <c r="N179" s="16" t="inlineStr">
        <is>
          <t>Inspect balance + line invariants.</t>
        </is>
      </c>
      <c r="O179" s="16" t="inlineStr">
        <is>
          <t>Attempt unbalanced JE → rejected.</t>
        </is>
      </c>
      <c r="P179" s="16" t="inlineStr">
        <is>
          <t>Invariant test</t>
        </is>
      </c>
      <c r="Q179" s="18" t="inlineStr">
        <is>
          <t>Implemented</t>
        </is>
      </c>
    </row>
    <row r="180">
      <c r="A180" s="11" t="inlineStr">
        <is>
          <t>GL-02</t>
        </is>
      </c>
      <c r="B180" s="12" t="inlineStr">
        <is>
          <t>General Ledger</t>
        </is>
      </c>
      <c r="C180" s="13" t="inlineStr">
        <is>
          <t>Application</t>
        </is>
      </c>
      <c r="D180" s="12" t="inlineStr">
        <is>
          <t>All</t>
        </is>
      </c>
      <c r="E180" s="12" t="inlineStr">
        <is>
          <t>Postings to a closed period distort reported results.</t>
        </is>
      </c>
      <c r="F180" s="12" t="inlineStr">
        <is>
          <t>Cutoff</t>
        </is>
      </c>
      <c r="G180" s="12" t="inlineStr">
        <is>
          <t>Period-close lockout — postings to a CLOSED fiscal period are rejected (per-tenant calendar).</t>
        </is>
      </c>
      <c r="H180" s="13" t="inlineStr">
        <is>
          <t>Prev</t>
        </is>
      </c>
      <c r="I180" s="13" t="inlineStr">
        <is>
          <t>Automated</t>
        </is>
      </c>
      <c r="J180" s="13" t="inlineStr">
        <is>
          <t>Per JE</t>
        </is>
      </c>
      <c r="K180" s="12" t="inlineStr">
        <is>
          <t>Controller</t>
        </is>
      </c>
      <c r="L180" s="13" t="inlineStr">
        <is>
          <t>P10</t>
        </is>
      </c>
      <c r="M180" s="12" t="inlineStr">
        <is>
          <t>ledger.service.ts (postEntry PERIOD_CLOSED); fiscal_periods</t>
        </is>
      </c>
      <c r="N180" s="12" t="inlineStr">
        <is>
          <t>Inspect close check.</t>
        </is>
      </c>
      <c r="O180" s="12" t="inlineStr">
        <is>
          <t>Post to closed period → rejected; review exceptions.</t>
        </is>
      </c>
      <c r="P180" s="12" t="inlineStr">
        <is>
          <t>Close-lock test</t>
        </is>
      </c>
      <c r="Q180" s="18" t="inlineStr">
        <is>
          <t>Implemented</t>
        </is>
      </c>
    </row>
    <row r="181">
      <c r="A181" s="15" t="inlineStr">
        <is>
          <t>GL-03</t>
        </is>
      </c>
      <c r="B181" s="16" t="inlineStr">
        <is>
          <t>General Ledger</t>
        </is>
      </c>
      <c r="C181" s="17" t="inlineStr">
        <is>
          <t>Application</t>
        </is>
      </c>
      <c r="D181" s="16" t="inlineStr">
        <is>
          <t>Equity</t>
        </is>
      </c>
      <c r="E181" s="16" t="inlineStr">
        <is>
          <t>Unauthorized year-end close / RE roll.</t>
        </is>
      </c>
      <c r="F181" s="16" t="inlineStr">
        <is>
          <t>Cutoff/Authorization</t>
        </is>
      </c>
      <c r="G181" s="16" t="inlineStr">
        <is>
          <t>Year-end close restricted to 'exec'; closing entries roll to retained earnings.</t>
        </is>
      </c>
      <c r="H181" s="17" t="inlineStr">
        <is>
          <t>Prev</t>
        </is>
      </c>
      <c r="I181" s="17" t="inlineStr">
        <is>
          <t>Auto+Manual</t>
        </is>
      </c>
      <c r="J181" s="17" t="inlineStr">
        <is>
          <t>Annual</t>
        </is>
      </c>
      <c r="K181" s="16" t="inlineStr">
        <is>
          <t>CFO / Controller</t>
        </is>
      </c>
      <c r="L181" s="17" t="inlineStr">
        <is>
          <t>P10/P11</t>
        </is>
      </c>
      <c r="M181" s="16" t="inlineStr">
        <is>
          <t>ledger.controller.ts (close-year @Permissions exec); closeYear</t>
        </is>
      </c>
      <c r="N181" s="16" t="inlineStr">
        <is>
          <t>Inspect permission + closing logic.</t>
        </is>
      </c>
      <c r="O181" s="16" t="inlineStr">
        <is>
          <t>Attempt close w/o exec → 403; review annual close.</t>
        </is>
      </c>
      <c r="P181" s="16" t="inlineStr">
        <is>
          <t>Close package</t>
        </is>
      </c>
      <c r="Q181" s="18" t="inlineStr">
        <is>
          <t>Implemented</t>
        </is>
      </c>
    </row>
    <row r="182">
      <c r="A182" s="11" t="inlineStr">
        <is>
          <t>GL-04</t>
        </is>
      </c>
      <c r="B182" s="12" t="inlineStr">
        <is>
          <t>General Ledger</t>
        </is>
      </c>
      <c r="C182" s="13" t="inlineStr">
        <is>
          <t>Application</t>
        </is>
      </c>
      <c r="D182" s="12" t="inlineStr">
        <is>
          <t>All</t>
        </is>
      </c>
      <c r="E182" s="12" t="inlineStr">
        <is>
          <t>Concurrent posting double-books the same source doc.</t>
        </is>
      </c>
      <c r="F182" s="12" t="inlineStr">
        <is>
          <t>Completeness/Accuracy</t>
        </is>
      </c>
      <c r="G182" s="12" t="inlineStr">
        <is>
          <t>Ledger idempotency — UNIQUE (tenant,source,source_ref,ledger) + ON CONFLICT DO NOTHING in postEntry.</t>
        </is>
      </c>
      <c r="H182" s="13" t="inlineStr">
        <is>
          <t>Prev</t>
        </is>
      </c>
      <c r="I182" s="13" t="inlineStr">
        <is>
          <t>Automated</t>
        </is>
      </c>
      <c r="J182" s="13" t="inlineStr">
        <is>
          <t>Per JE</t>
        </is>
      </c>
      <c r="K182" s="12" t="inlineStr">
        <is>
          <t>Eng Lead / Controller</t>
        </is>
      </c>
      <c r="L182" s="13" t="inlineStr">
        <is>
          <t>P10</t>
        </is>
      </c>
      <c r="M182" s="12" t="inlineStr">
        <is>
          <t>schema/ledger.ts (ux_je_idem); ledger.service.ts; migration 0058</t>
        </is>
      </c>
      <c r="N182" s="12" t="inlineStr">
        <is>
          <t>Inspect unique index + conflict handling.</t>
        </is>
      </c>
      <c r="O182" s="12" t="inlineStr">
        <is>
          <t>Concurrent identical post → single entry.</t>
        </is>
      </c>
      <c r="P182" s="12" t="inlineStr">
        <is>
          <t>Dedup test</t>
        </is>
      </c>
      <c r="Q182" s="18" t="inlineStr">
        <is>
          <t>Implemented</t>
        </is>
      </c>
    </row>
    <row r="183">
      <c r="A183" s="15" t="inlineStr">
        <is>
          <t>GL-05</t>
        </is>
      </c>
      <c r="B183" s="16" t="inlineStr">
        <is>
          <t>General Ledger</t>
        </is>
      </c>
      <c r="C183" s="17" t="inlineStr">
        <is>
          <t>Application</t>
        </is>
      </c>
      <c r="D183" s="16" t="inlineStr">
        <is>
          <t>All</t>
        </is>
      </c>
      <c r="E183" s="16" t="inlineStr">
        <is>
          <t>Manual JE posted without independent review (override risk).</t>
        </is>
      </c>
      <c r="F183" s="16" t="inlineStr">
        <is>
          <t>Authorization</t>
        </is>
      </c>
      <c r="G183" s="16" t="inlineStr">
        <is>
          <t>Manual journal-entry maker-checker — preparer ≠ approver before a manual JE posts.</t>
        </is>
      </c>
      <c r="H183" s="17" t="inlineStr">
        <is>
          <t>Prev</t>
        </is>
      </c>
      <c r="I183" s="17" t="inlineStr">
        <is>
          <t>Auto+Manual</t>
        </is>
      </c>
      <c r="J183" s="17" t="inlineStr">
        <is>
          <t>Per manual JE</t>
        </is>
      </c>
      <c r="K183" s="16" t="inlineStr">
        <is>
          <t>Controller</t>
        </is>
      </c>
      <c r="L183" s="17" t="inlineStr">
        <is>
          <t>P10</t>
        </is>
      </c>
      <c r="M183" s="16" t="inlineStr">
        <is>
          <t>ledger.service.ts (postEntry pendingApproval→Draft; approveEntry preparer≠approver; rejectEntry); ledger.controller.ts (gl_post posts / gl_close approves); cutover/compliance.ts (ToE)</t>
        </is>
      </c>
      <c r="N183" s="16" t="inlineStr">
        <is>
          <t>Inspect JE approval routing.</t>
        </is>
      </c>
      <c r="O183" s="16" t="inlineStr">
        <is>
          <t>Sample manual JEs: approver ≠ preparer; Draft excluded from balances until approved (re-performed by the harness).</t>
        </is>
      </c>
      <c r="P183" s="16" t="inlineStr">
        <is>
          <t>JE approvals</t>
        </is>
      </c>
      <c r="Q183" s="18" t="inlineStr">
        <is>
          <t>Implemented</t>
        </is>
      </c>
    </row>
    <row r="184">
      <c r="A184" s="11" t="inlineStr">
        <is>
          <t>GL-06</t>
        </is>
      </c>
      <c r="B184" s="12" t="inlineStr">
        <is>
          <t>General Ledger</t>
        </is>
      </c>
      <c r="C184" s="13" t="inlineStr">
        <is>
          <t>Application</t>
        </is>
      </c>
      <c r="D184" s="12" t="inlineStr">
        <is>
          <t>All</t>
        </is>
      </c>
      <c r="E184" s="12" t="inlineStr">
        <is>
          <t>Operator mis-posts to another tenant's books.</t>
        </is>
      </c>
      <c r="F184" s="12" t="inlineStr">
        <is>
          <t>Validity</t>
        </is>
      </c>
      <c r="G184" s="12" t="inlineStr">
        <is>
          <t>HQ cross-tenant posting gated to Admin (explicit tenant override); others pinned to context (also RLS).</t>
        </is>
      </c>
      <c r="H184" s="13" t="inlineStr">
        <is>
          <t>Prev</t>
        </is>
      </c>
      <c r="I184" s="13" t="inlineStr">
        <is>
          <t>Automated</t>
        </is>
      </c>
      <c r="J184" s="13" t="inlineStr">
        <is>
          <t>Per JE</t>
        </is>
      </c>
      <c r="K184" s="12" t="inlineStr">
        <is>
          <t>Eng Lead</t>
        </is>
      </c>
      <c r="L184" s="13" t="inlineStr">
        <is>
          <t>P10/P11</t>
        </is>
      </c>
      <c r="M184" s="12" t="inlineStr">
        <is>
          <t>ledger.controller.ts (hqTenant)</t>
        </is>
      </c>
      <c r="N184" s="12" t="inlineStr">
        <is>
          <t>Inspect Admin gating of tenant_id.</t>
        </is>
      </c>
      <c r="O184" s="12" t="inlineStr">
        <is>
          <t>Non-Admin tenant override ignored; Admin audited.</t>
        </is>
      </c>
      <c r="P184" s="12" t="inlineStr">
        <is>
          <t>Override test</t>
        </is>
      </c>
      <c r="Q184" s="18" t="inlineStr">
        <is>
          <t>Implemented</t>
        </is>
      </c>
    </row>
    <row r="185">
      <c r="A185" s="15" t="inlineStr">
        <is>
          <t>GL-07</t>
        </is>
      </c>
      <c r="B185" s="16" t="inlineStr">
        <is>
          <t>General Ledger</t>
        </is>
      </c>
      <c r="C185" s="17" t="inlineStr">
        <is>
          <t>Application</t>
        </is>
      </c>
      <c r="D185" s="16" t="inlineStr">
        <is>
          <t>Cash</t>
        </is>
      </c>
      <c r="E185" s="16" t="inlineStr">
        <is>
          <t>Statement of cash flows mis-stated or doesn't tie to the change in cash.</t>
        </is>
      </c>
      <c r="F185" s="16" t="inlineStr">
        <is>
          <t>Accuracy/Completeness</t>
        </is>
      </c>
      <c r="G18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5" s="17" t="inlineStr">
        <is>
          <t>Det</t>
        </is>
      </c>
      <c r="I185" s="17" t="inlineStr">
        <is>
          <t>Automated</t>
        </is>
      </c>
      <c r="J185" s="17" t="inlineStr">
        <is>
          <t>Per period</t>
        </is>
      </c>
      <c r="K185" s="16" t="inlineStr">
        <is>
          <t>Controller</t>
        </is>
      </c>
      <c r="L185" s="17" t="inlineStr">
        <is>
          <t>P10</t>
        </is>
      </c>
      <c r="M185" s="16" t="inlineStr">
        <is>
          <t>ledger.service.ts (cashFlowStatement, cashFlowDirect, cashFlowForecast); ledger.controller.ts (GET cash-flow, cash-flow-direct, cash-flow-forecast); cutover/basics.ts (ToE)</t>
        </is>
      </c>
      <c r="N185" s="16" t="inlineStr">
        <is>
          <t>Inspect SCF derivation + reconciliation flag; inspect direct-method bucketing and forecast projection.</t>
        </is>
      </c>
      <c r="O185" s="16" t="inlineStr">
        <is>
          <t>Run cash-flow over a seeded period — activities tie to the movement in cash; CLOSE excluded; direct method ties to the same operating cash and Δcash; forecast buckets open AR/AP by due week (re-performed by the harness).</t>
        </is>
      </c>
      <c r="P185" s="16" t="inlineStr">
        <is>
          <t>Cash-flow reconciliation; direct-method buckets; forecast schedule</t>
        </is>
      </c>
      <c r="Q185" s="18" t="inlineStr">
        <is>
          <t>Implemented</t>
        </is>
      </c>
    </row>
    <row r="186">
      <c r="A186" s="11" t="inlineStr">
        <is>
          <t>GL-08</t>
        </is>
      </c>
      <c r="B186" s="12" t="inlineStr">
        <is>
          <t>General Ledger</t>
        </is>
      </c>
      <c r="C186" s="13" t="inlineStr">
        <is>
          <t>Application</t>
        </is>
      </c>
      <c r="D186" s="12" t="inlineStr">
        <is>
          <t>All</t>
        </is>
      </c>
      <c r="E186" s="12" t="inlineStr">
        <is>
          <t>Standing/period accruals missed, posted unbalanced, or posted without approval; manual re-keying error.</t>
        </is>
      </c>
      <c r="F186" s="12" t="inlineStr">
        <is>
          <t>Completeness/Accuracy/Authorization</t>
        </is>
      </c>
      <c r="G18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6" s="13" t="inlineStr">
        <is>
          <t>Prev</t>
        </is>
      </c>
      <c r="I186" s="13" t="inlineStr">
        <is>
          <t>Automated</t>
        </is>
      </c>
      <c r="J186" s="13" t="inlineStr">
        <is>
          <t>Per due date / per template</t>
        </is>
      </c>
      <c r="K186" s="12" t="inlineStr">
        <is>
          <t>Controller</t>
        </is>
      </c>
      <c r="L186" s="13" t="inlineStr">
        <is>
          <t>P10</t>
        </is>
      </c>
      <c r="M18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6" s="12" t="inlineStr">
        <is>
          <t>Inspect template balance validation + scheduled posting as Draft + idempotency.</t>
        </is>
      </c>
      <c r="O186" s="12" t="inlineStr">
        <is>
          <t>Unbalanced template → UNBALANCED; due template posts a Draft JE (excluded from TB) into the pending queue; re-run posts nothing; a second user approves → accrual hits the GL (re-performed by the harness).</t>
        </is>
      </c>
      <c r="P186" s="12" t="inlineStr">
        <is>
          <t>Recurring-journal templates; scheduled run log; JE approvals</t>
        </is>
      </c>
      <c r="Q186" s="18" t="inlineStr">
        <is>
          <t>Implemented</t>
        </is>
      </c>
    </row>
    <row r="187">
      <c r="A187" s="15" t="inlineStr">
        <is>
          <t>GL-09</t>
        </is>
      </c>
      <c r="B187" s="16" t="inlineStr">
        <is>
          <t>General Ledger</t>
        </is>
      </c>
      <c r="C187" s="17" t="inlineStr">
        <is>
          <t>Application</t>
        </is>
      </c>
      <c r="D187" s="16" t="inlineStr">
        <is>
          <t>Prepaid expenses; Operating expense</t>
        </is>
      </c>
      <c r="E187" s="16" t="inlineStr">
        <is>
          <t>Prepaid expense not amortized over its term — expense mis-stated, prepaid asset overstated.</t>
        </is>
      </c>
      <c r="F187" s="16" t="inlineStr">
        <is>
          <t>Accuracy/Completeness</t>
        </is>
      </c>
      <c r="G18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7" s="17" t="inlineStr">
        <is>
          <t>Det</t>
        </is>
      </c>
      <c r="I187" s="17" t="inlineStr">
        <is>
          <t>Automated</t>
        </is>
      </c>
      <c r="J187" s="17" t="inlineStr">
        <is>
          <t>Per period / per schedule</t>
        </is>
      </c>
      <c r="K187" s="16" t="inlineStr">
        <is>
          <t>Controller</t>
        </is>
      </c>
      <c r="L187" s="17" t="inlineStr">
        <is>
          <t>P10</t>
        </is>
      </c>
      <c r="M187" s="16" t="inlineStr">
        <is>
          <t>ledger.service.ts (createPrepaid, runDuePrepaid); ledger.controller.ts (gl_post); bi.service.ts (gl_prepaid_amortize); schema/ledger.ts (prepaid_schedules) + migration 0120; cutover/basics.ts (ToE)</t>
        </is>
      </c>
      <c r="N187" s="16" t="inlineStr">
        <is>
          <t>Inspect amortization slice + final-period remainder + idempotency.</t>
        </is>
      </c>
      <c r="O187" s="16" t="inlineStr">
        <is>
          <t>Register a 12-month prepaid; run amortizes 1/12 to expense; re-run posts nothing (re-performed by the harness).</t>
        </is>
      </c>
      <c r="P187" s="16" t="inlineStr">
        <is>
          <t>Prepaid schedules; amortization run log</t>
        </is>
      </c>
      <c r="Q187" s="18" t="inlineStr">
        <is>
          <t>Implemented</t>
        </is>
      </c>
    </row>
    <row r="188">
      <c r="A188" s="11" t="inlineStr">
        <is>
          <t>GL-10</t>
        </is>
      </c>
      <c r="B188" s="12" t="inlineStr">
        <is>
          <t>General Ledger</t>
        </is>
      </c>
      <c r="C188" s="13" t="inlineStr">
        <is>
          <t>Application</t>
        </is>
      </c>
      <c r="D188" s="12" t="inlineStr">
        <is>
          <t>All</t>
        </is>
      </c>
      <c r="E18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8" s="12" t="inlineStr">
        <is>
          <t>Completeness/Accuracy/Presentation</t>
        </is>
      </c>
      <c r="G18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8" s="13" t="inlineStr">
        <is>
          <t>Prev</t>
        </is>
      </c>
      <c r="I188" s="13" t="inlineStr">
        <is>
          <t>Automated</t>
        </is>
      </c>
      <c r="J188" s="13" t="inlineStr">
        <is>
          <t>At company creation / per pack adopt</t>
        </is>
      </c>
      <c r="K188" s="12" t="inlineStr">
        <is>
          <t>Controller</t>
        </is>
      </c>
      <c r="L188" s="13" t="inlineStr">
        <is>
          <t>P10</t>
        </is>
      </c>
      <c r="M18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8" s="12" t="inlineStr">
        <is>
          <t>Inspect the boot subset assertion + signup provisioning + the overlay-is-presentation-only read path.</t>
        </is>
      </c>
      <c r="O18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8" s="12" t="inlineStr">
        <is>
          <t>Industry templates; tenant_accounts overlay; signup provisioning log</t>
        </is>
      </c>
      <c r="Q188" s="18" t="inlineStr">
        <is>
          <t>Implemented</t>
        </is>
      </c>
    </row>
    <row r="189">
      <c r="A189" s="15" t="inlineStr">
        <is>
          <t>GL-11</t>
        </is>
      </c>
      <c r="B189" s="16" t="inlineStr">
        <is>
          <t>General Ledger</t>
        </is>
      </c>
      <c r="C189" s="17" t="inlineStr">
        <is>
          <t>Application</t>
        </is>
      </c>
      <c r="D189" s="16" t="inlineStr">
        <is>
          <t>All</t>
        </is>
      </c>
      <c r="E18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9" s="16" t="inlineStr">
        <is>
          <t>Authorization/Completeness/Accuracy</t>
        </is>
      </c>
      <c r="G18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9" s="17" t="inlineStr">
        <is>
          <t>Prev</t>
        </is>
      </c>
      <c r="I189" s="17" t="inlineStr">
        <is>
          <t>Automated</t>
        </is>
      </c>
      <c r="J189" s="17" t="inlineStr">
        <is>
          <t>Event-driven</t>
        </is>
      </c>
      <c r="K189" s="16" t="inlineStr">
        <is>
          <t>Financial Controller / Platform Admin</t>
        </is>
      </c>
      <c r="L189" s="17" t="inlineStr">
        <is>
          <t>P10</t>
        </is>
      </c>
      <c r="M18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9" s="16" t="inlineStr">
        <is>
          <t>Inspect the Admin/HQ gate on canonical writes (COA_ADMIN_ONLY), the RLS-scoped overlay curation, and the CODE_HAS_POSTINGS / ACCOUNT_HAS_BALANCE / CONTROL_ACCOUNT guards.</t>
        </is>
      </c>
      <c r="O18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9" s="16" t="inlineStr">
        <is>
          <t>CoA change log (audit_log); compliance GL-11 ToE; control-account guard test</t>
        </is>
      </c>
      <c r="Q189" s="18" t="inlineStr">
        <is>
          <t>Implemented</t>
        </is>
      </c>
    </row>
    <row r="190">
      <c r="A190" s="11" t="inlineStr">
        <is>
          <t>GL-12</t>
        </is>
      </c>
      <c r="B190" s="12" t="inlineStr">
        <is>
          <t>General Ledger</t>
        </is>
      </c>
      <c r="C190" s="13" t="inlineStr">
        <is>
          <t>Application</t>
        </is>
      </c>
      <c r="D190" s="12" t="inlineStr">
        <is>
          <t>All</t>
        </is>
      </c>
      <c r="E190" s="12" t="inlineStr">
        <is>
          <t>Account-assignment errors introduced by scattered inline account-code literals in service code; a tenant needing a different account for a given business event has no mechanism to override without a code change.</t>
        </is>
      </c>
      <c r="F190" s="12" t="inlineStr">
        <is>
          <t>Authorization/Accuracy</t>
        </is>
      </c>
      <c r="G19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0" s="13" t="inlineStr">
        <is>
          <t>Prev</t>
        </is>
      </c>
      <c r="I190" s="13" t="inlineStr">
        <is>
          <t>Automated</t>
        </is>
      </c>
      <c r="J190" s="13" t="inlineStr">
        <is>
          <t>Event-driven</t>
        </is>
      </c>
      <c r="K190" s="12" t="inlineStr">
        <is>
          <t>Financial Controller</t>
        </is>
      </c>
      <c r="L190" s="13" t="inlineStr">
        <is>
          <t>P10</t>
        </is>
      </c>
      <c r="M19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0" s="12" t="inlineStr">
        <is>
          <t>Inspect the rule-resolution logic + NO_POSTING_RULE fast-fail + tenant-shadow logic + gl_posting_rules permission gate.</t>
        </is>
      </c>
      <c r="O19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0" s="12" t="inlineStr">
        <is>
          <t>Posting-rule change log; preview dry-run; harness golden snapshot</t>
        </is>
      </c>
      <c r="Q190" s="18" t="inlineStr">
        <is>
          <t>Implemented</t>
        </is>
      </c>
    </row>
    <row r="191">
      <c r="A191" s="15" t="inlineStr">
        <is>
          <t>GL-13</t>
        </is>
      </c>
      <c r="B191" s="16" t="inlineStr">
        <is>
          <t>General Ledger</t>
        </is>
      </c>
      <c r="C191" s="17" t="inlineStr">
        <is>
          <t>Application</t>
        </is>
      </c>
      <c r="D191" s="16" t="inlineStr">
        <is>
          <t>All</t>
        </is>
      </c>
      <c r="E191" s="16" t="inlineStr">
        <is>
          <t>Revenue or expense mis-attributed to the wrong branch / project — per-location P&amp;L is unintelligible or misleading.</t>
        </is>
      </c>
      <c r="F191" s="16" t="inlineStr">
        <is>
          <t>Accuracy/Presentation</t>
        </is>
      </c>
      <c r="G19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1" s="17" t="inlineStr">
        <is>
          <t>Det</t>
        </is>
      </c>
      <c r="I191" s="17" t="inlineStr">
        <is>
          <t>Automated</t>
        </is>
      </c>
      <c r="J191" s="17" t="inlineStr">
        <is>
          <t>Per period</t>
        </is>
      </c>
      <c r="K191" s="16" t="inlineStr">
        <is>
          <t>Controller</t>
        </is>
      </c>
      <c r="L191" s="17" t="inlineStr">
        <is>
          <t>P10</t>
        </is>
      </c>
      <c r="M19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1" s="16" t="inlineStr">
        <is>
          <t>Inspect by-branch query + PostingContext stamping + department RLS.</t>
        </is>
      </c>
      <c r="O191" s="16" t="inlineStr">
        <is>
          <t>TC-GL-13-01/02/03: smoke + two branches + unassigned bucket (re-performed by the basics.ts harness).</t>
        </is>
      </c>
      <c r="P191" s="16" t="inlineStr">
        <is>
          <t>By-branch P&amp;L report; dimension completeness</t>
        </is>
      </c>
      <c r="Q191" s="18" t="inlineStr">
        <is>
          <t>Implemented</t>
        </is>
      </c>
    </row>
    <row r="192">
      <c r="A192" s="11" t="inlineStr">
        <is>
          <t>GL-14</t>
        </is>
      </c>
      <c r="B192" s="12" t="inlineStr">
        <is>
          <t>General Ledger</t>
        </is>
      </c>
      <c r="C192" s="13" t="inlineStr">
        <is>
          <t>Application</t>
        </is>
      </c>
      <c r="D192" s="12" t="inlineStr">
        <is>
          <t>All</t>
        </is>
      </c>
      <c r="E192" s="12" t="inlineStr">
        <is>
          <t>GL control-account balances (AR/AP/INV/FA) drift from the underlying sub-ledger detail without detection — the control account no longer represents the sum of its sub-ledger, masking posting errors, unrecorded items, or fraud.</t>
        </is>
      </c>
      <c r="F192" s="12" t="inlineStr">
        <is>
          <t>Completeness/Accuracy/Valuation</t>
        </is>
      </c>
      <c r="G19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2" s="13" t="inlineStr">
        <is>
          <t>Det</t>
        </is>
      </c>
      <c r="I192" s="13" t="inlineStr">
        <is>
          <t>Automated</t>
        </is>
      </c>
      <c r="J192" s="13" t="inlineStr">
        <is>
          <t>Monthly</t>
        </is>
      </c>
      <c r="K192" s="12" t="inlineStr">
        <is>
          <t>Financial Controller</t>
        </is>
      </c>
      <c r="L192" s="13" t="inlineStr">
        <is>
          <t>P10</t>
        </is>
      </c>
      <c r="M19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2" s="12" t="inlineStr">
        <is>
          <t>Inspect the GL-vs-sub-ledger balance computation + variance/status + SELF_CERTIFY maker-checker gate + gl_close certify permission.</t>
        </is>
      </c>
      <c r="O192" s="12" t="inlineStr">
        <is>
          <t>TC-GL-14-01: run AR tie-out → balances + Matched/Variance; TC-GL-14-02: self-certify by the runner → SELF_CERTIFY (400); TC-GL-14-03: certify by a different gl_close user → Certified (re-performed by the basics.ts harness).</t>
        </is>
      </c>
      <c r="P192" s="12" t="inlineStr">
        <is>
          <t>Tie-out run log (subledger_tieout_runs) with variance + certification trail; monthly reconciliation sign-off</t>
        </is>
      </c>
      <c r="Q192" s="18" t="inlineStr">
        <is>
          <t>Implemented</t>
        </is>
      </c>
    </row>
    <row r="193">
      <c r="A193" s="15" t="inlineStr">
        <is>
          <t>GL-15</t>
        </is>
      </c>
      <c r="B193" s="16" t="inlineStr">
        <is>
          <t>General Ledger</t>
        </is>
      </c>
      <c r="C193" s="17" t="inlineStr">
        <is>
          <t>Application</t>
        </is>
      </c>
      <c r="D193" s="16" t="inlineStr">
        <is>
          <t>All</t>
        </is>
      </c>
      <c r="E19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3" s="16" t="inlineStr">
        <is>
          <t>Completeness/Accuracy/Cutoff</t>
        </is>
      </c>
      <c r="G19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3" s="17" t="inlineStr">
        <is>
          <t>Prev</t>
        </is>
      </c>
      <c r="I193" s="17" t="inlineStr">
        <is>
          <t>Automated</t>
        </is>
      </c>
      <c r="J193" s="17" t="inlineStr">
        <is>
          <t>Monthly</t>
        </is>
      </c>
      <c r="K193" s="16" t="inlineStr">
        <is>
          <t>Financial Controller</t>
        </is>
      </c>
      <c r="L193" s="17" t="inlineStr">
        <is>
          <t>P10</t>
        </is>
      </c>
      <c r="M19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3" s="16" t="inlineStr">
        <is>
          <t>Inspect the seeded checklist + ReadyToLock gating + STEPS_INCOMPLETE lock rejection + PERIOD_LOCKED hard gate in postEntry (incl. the CLOSE exemption).</t>
        </is>
      </c>
      <c r="O193" s="16" t="inlineStr">
        <is>
          <t>TC-GL-15-01: start close seeds ≥4 steps (InProgress); TC-GL-15-02: lock before steps done → STEPS_INCOMPLETE (400); TC-GL-15-03: post into locked period → PERIOD_LOCKED (400) (re-performed by the basics.ts harness).</t>
        </is>
      </c>
      <c r="P193" s="16" t="inlineStr">
        <is>
          <t>close_runs / close_run_steps with completion trail; fiscal_periods.status=Locked; monthly close sign-off</t>
        </is>
      </c>
      <c r="Q193" s="18" t="inlineStr">
        <is>
          <t>Implemented</t>
        </is>
      </c>
    </row>
    <row r="194">
      <c r="A194" s="11" t="inlineStr">
        <is>
          <t>GL-16</t>
        </is>
      </c>
      <c r="B194" s="12" t="inlineStr">
        <is>
          <t>General Ledger</t>
        </is>
      </c>
      <c r="C194" s="13" t="inlineStr">
        <is>
          <t>Application</t>
        </is>
      </c>
      <c r="D194" s="12" t="inlineStr">
        <is>
          <t>All</t>
        </is>
      </c>
      <c r="E194" s="12" t="inlineStr">
        <is>
          <t>One person both performs the close and locks the period, defeating segregation of duties — a preparer could conceal a misstatement by closing over their own work without independent review.</t>
        </is>
      </c>
      <c r="F194" s="12" t="inlineStr">
        <is>
          <t>Authorization/Segregation of Duties</t>
        </is>
      </c>
      <c r="G19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4" s="13" t="inlineStr">
        <is>
          <t>Prev</t>
        </is>
      </c>
      <c r="I194" s="13" t="inlineStr">
        <is>
          <t>Automated</t>
        </is>
      </c>
      <c r="J194" s="13" t="inlineStr">
        <is>
          <t>Monthly</t>
        </is>
      </c>
      <c r="K194" s="12" t="inlineStr">
        <is>
          <t>Financial Controller</t>
        </is>
      </c>
      <c r="L194" s="13" t="inlineStr">
        <is>
          <t>P10</t>
        </is>
      </c>
      <c r="M19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4" s="12" t="inlineStr">
        <is>
          <t>Inspect the SELF_LOCK gate (startedBy ≠ lockedBy) + the started_by/locked_by/locked_at evidence trail.</t>
        </is>
      </c>
      <c r="O194" s="12" t="inlineStr">
        <is>
          <t>TC-GL-16-01: self-lock by the starter → SELF_LOCK (400); TC-GL-16-02: lock by a different gl_close user → Locked, locked_by recorded (re-performed by the basics.ts harness).</t>
        </is>
      </c>
      <c r="P194" s="12" t="inlineStr">
        <is>
          <t>close_runs.started_by / locked_by / locked_at SoD trail; monthly close sign-off</t>
        </is>
      </c>
      <c r="Q194" s="18" t="inlineStr">
        <is>
          <t>Implemented</t>
        </is>
      </c>
    </row>
    <row r="195">
      <c r="A195" s="15" t="inlineStr">
        <is>
          <t>GL-17</t>
        </is>
      </c>
      <c r="B195" s="16" t="inlineStr">
        <is>
          <t>General Ledger</t>
        </is>
      </c>
      <c r="C195" s="17" t="inlineStr">
        <is>
          <t>Application</t>
        </is>
      </c>
      <c r="D195" s="16" t="inlineStr">
        <is>
          <t>All</t>
        </is>
      </c>
      <c r="E19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5" s="16" t="inlineStr">
        <is>
          <t>Completeness/Accuracy/Authorization</t>
        </is>
      </c>
      <c r="G19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5" s="17" t="inlineStr">
        <is>
          <t>Prev</t>
        </is>
      </c>
      <c r="I195" s="17" t="inlineStr">
        <is>
          <t>Automated</t>
        </is>
      </c>
      <c r="J195" s="17" t="inlineStr">
        <is>
          <t>Per entry / continuous</t>
        </is>
      </c>
      <c r="K195" s="16" t="inlineStr">
        <is>
          <t>Financial Controller</t>
        </is>
      </c>
      <c r="L195" s="17" t="inlineStr">
        <is>
          <t>P10</t>
        </is>
      </c>
      <c r="M19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5" s="16" t="inlineStr">
        <is>
          <t>Inspect the DB immutability trigger + the app GL_IMMUTABLE guard + the reversal contra-posting (swapped Dr/Cr, reversal_of, is_reversed) + the gl_audit_log trail (POST/APPROVE/REVERSE/MUTATE_BLOCKED).</t>
        </is>
      </c>
      <c r="O19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5" s="16" t="inlineStr">
        <is>
          <t>gl_audit_log trail (POST/APPROVE/REVERSE/MUTATE_BLOCKED); reversal entries with reversal_of linkage; posted-entry immutability</t>
        </is>
      </c>
      <c r="Q195" s="18" t="inlineStr">
        <is>
          <t>Implemented</t>
        </is>
      </c>
    </row>
    <row r="196">
      <c r="A196" s="11" t="inlineStr">
        <is>
          <t>GL-18</t>
        </is>
      </c>
      <c r="B196" s="12" t="inlineStr">
        <is>
          <t>General Ledger</t>
        </is>
      </c>
      <c r="C196" s="13" t="inlineStr">
        <is>
          <t>Application</t>
        </is>
      </c>
      <c r="D196" s="12" t="inlineStr">
        <is>
          <t>Accounts Receivable (1100); Accounts Payable (2000); FX Gain/Loss (5400)</t>
        </is>
      </c>
      <c r="E19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6" s="12" t="inlineStr">
        <is>
          <t>Accuracy/Valuation/Authorization/Segregation of Duties</t>
        </is>
      </c>
      <c r="G19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6" s="13" t="inlineStr">
        <is>
          <t>Prev</t>
        </is>
      </c>
      <c r="I196" s="13" t="inlineStr">
        <is>
          <t>Automated</t>
        </is>
      </c>
      <c r="J196" s="13" t="inlineStr">
        <is>
          <t>Monthly / period-end</t>
        </is>
      </c>
      <c r="K196" s="12" t="inlineStr">
        <is>
          <t>Financial Controller</t>
        </is>
      </c>
      <c r="L196" s="13" t="inlineStr">
        <is>
          <t>P10</t>
        </is>
      </c>
      <c r="M19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6" s="12" t="inlineStr">
        <is>
          <t>Inspect the run→post lifecycle, the rate resolution (explicit/approved-only/MISSING_RATE), the SELF_POST maker-checker, and the 5400/1100/2000 posting through the period-lock gate.</t>
        </is>
      </c>
      <c r="O196" s="12" t="inlineStr">
        <is>
          <t>TC-GL-18-01: run on an open foreign AR+AP → net unrealized gain/loss with per-doc detail (Open); TC-GL-18-02: runner self-post → SELF_POST (403), a different user posts → 5400 movement, re-post → ALREADY_POSTED (400) (re-performed by the basics.ts harness).</t>
        </is>
      </c>
      <c r="P196" s="12" t="inlineStr">
        <is>
          <t>fx_reval_runs register (Open→Posted, runner/poster); the FXREVAL-RUN JE to 5400; period-end reval sign-off</t>
        </is>
      </c>
      <c r="Q196" s="18" t="inlineStr">
        <is>
          <t>Implemented</t>
        </is>
      </c>
    </row>
    <row r="197">
      <c r="A197" s="15" t="inlineStr">
        <is>
          <t>GL-19</t>
        </is>
      </c>
      <c r="B197" s="16" t="inlineStr">
        <is>
          <t>General Ledger</t>
        </is>
      </c>
      <c r="C197" s="17" t="inlineStr">
        <is>
          <t>Detective</t>
        </is>
      </c>
      <c r="D197" s="16" t="inlineStr">
        <is>
          <t>All</t>
        </is>
      </c>
      <c r="E19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7" s="16" t="inlineStr">
        <is>
          <t>Completeness/Accuracy</t>
        </is>
      </c>
      <c r="G19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7" s="17" t="inlineStr">
        <is>
          <t>Det</t>
        </is>
      </c>
      <c r="I197" s="17" t="inlineStr">
        <is>
          <t>Automated</t>
        </is>
      </c>
      <c r="J197" s="17" t="inlineStr">
        <is>
          <t>Pre-lock / period-end</t>
        </is>
      </c>
      <c r="K197" s="16" t="inlineStr">
        <is>
          <t>Financial Controller</t>
        </is>
      </c>
      <c r="L197" s="17" t="inlineStr">
        <is>
          <t>P10</t>
        </is>
      </c>
      <c r="M19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7" s="16" t="inlineStr">
        <is>
          <t>Inspect the four readiness checks (unposted_drafts, period_balanced, unbalanced_entries, suspense_clearing) and that a draft in the period sets ready=false with the unposted_drafts blocker.</t>
        </is>
      </c>
      <c r="O197" s="16" t="inlineStr">
        <is>
          <t>TC-GL-19-CLOSE-01: validate a clean past period → ready=true, no blockers, drafts/balance checks ok; TC-GL-19-CLOSE-02: a manual JE (posts as Draft, GL-05) in the period → ready=false, unposted_drafts blocker count ≥ 1 (re-performed by the basics.ts harness).</t>
        </is>
      </c>
      <c r="P197" s="16" t="inlineStr">
        <is>
          <t>close-validate readiness report (ready/blockers/warnings + per-check detail)</t>
        </is>
      </c>
      <c r="Q197" s="18" t="inlineStr">
        <is>
          <t>Implemented</t>
        </is>
      </c>
    </row>
    <row r="198">
      <c r="A198" s="11" t="inlineStr">
        <is>
          <t>GL-20</t>
        </is>
      </c>
      <c r="B198" s="12" t="inlineStr">
        <is>
          <t>General Ledger</t>
        </is>
      </c>
      <c r="C198" s="13" t="inlineStr">
        <is>
          <t>Detective</t>
        </is>
      </c>
      <c r="D198" s="12" t="inlineStr">
        <is>
          <t>All</t>
        </is>
      </c>
      <c r="E19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8" s="12" t="inlineStr">
        <is>
          <t>Completeness/Accuracy</t>
        </is>
      </c>
      <c r="G19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8" s="13" t="inlineStr">
        <is>
          <t>Det</t>
        </is>
      </c>
      <c r="I198" s="13" t="inlineStr">
        <is>
          <t>Automated</t>
        </is>
      </c>
      <c r="J198" s="13" t="inlineStr">
        <is>
          <t>Per close</t>
        </is>
      </c>
      <c r="K198" s="12" t="inlineStr">
        <is>
          <t>Financial Controller</t>
        </is>
      </c>
      <c r="L198" s="13" t="inlineStr">
        <is>
          <t>P17</t>
        </is>
      </c>
      <c r="M198" s="12" t="inlineStr">
        <is>
          <t>ledger.service.ts bumpPeriodBalances (transactional maintenance) + trialBalance (snapshot read); close.service.ts validate gl_snapshot_drift; drizzle/0219_gl_period_balances.sql (table + unique key + backfill); cutover/basics.ts TC-GL-20 (ToE)</t>
        </is>
      </c>
      <c r="N198" s="12" t="inlineStr">
        <is>
          <t>Inspect that the snapshot write shares the posting transaction and that validate compares snapshot vs raw per account.</t>
        </is>
      </c>
      <c r="O198" s="12" t="inlineStr">
        <is>
          <t>Re-perform: clean period → gl_snapshot_drift ok; INSERT a bogus snapshot row → validate ready=false with the account named; rebuild → clear (basics harness TC-GL-20).</t>
        </is>
      </c>
      <c r="P198" s="12" t="inlineStr">
        <is>
          <t>Snapshot-reconciliation ToE (basics)</t>
        </is>
      </c>
      <c r="Q198" s="18" t="inlineStr">
        <is>
          <t>Implemented</t>
        </is>
      </c>
    </row>
    <row r="199">
      <c r="A199" s="15" t="inlineStr">
        <is>
          <t>GL-21</t>
        </is>
      </c>
      <c r="B199" s="16" t="inlineStr">
        <is>
          <t>General Ledger</t>
        </is>
      </c>
      <c r="C199" s="17" t="inlineStr">
        <is>
          <t>Application</t>
        </is>
      </c>
      <c r="D199" s="16" t="inlineStr">
        <is>
          <t>Inventory; COGS; Revenue</t>
        </is>
      </c>
      <c r="E19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9" s="16" t="inlineStr">
        <is>
          <t>Accuracy/Completeness/Valuation</t>
        </is>
      </c>
      <c r="G19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9" s="17" t="inlineStr">
        <is>
          <t>Prev</t>
        </is>
      </c>
      <c r="I199" s="17" t="inlineStr">
        <is>
          <t>Automated</t>
        </is>
      </c>
      <c r="J199" s="17" t="inlineStr">
        <is>
          <t>Event-driven / per item</t>
        </is>
      </c>
      <c r="K199" s="16" t="inlineStr">
        <is>
          <t>Financial Controller</t>
        </is>
      </c>
      <c r="L199" s="17" t="inlineStr">
        <is>
          <t>P10</t>
        </is>
      </c>
      <c r="M19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9" s="16" t="inlineStr">
        <is>
          <t>Inspect the item→category→literal precedence, the OFF-by-default parity, the postable-account fail-closed guard, and that reconcile sums the full inventory-account set.</t>
        </is>
      </c>
      <c r="O19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9" s="16" t="inlineStr">
        <is>
          <t>Feature-flag state + posting-rule/override config; harness ToE (basics GL-21)</t>
        </is>
      </c>
      <c r="Q199" s="18" t="inlineStr">
        <is>
          <t>Implemented</t>
        </is>
      </c>
    </row>
    <row r="200">
      <c r="A200" s="11" t="inlineStr">
        <is>
          <t>GL-22</t>
        </is>
      </c>
      <c r="B200" s="12" t="inlineStr">
        <is>
          <t>General Ledger</t>
        </is>
      </c>
      <c r="C200" s="13" t="inlineStr">
        <is>
          <t>Detective</t>
        </is>
      </c>
      <c r="D200" s="12" t="inlineStr">
        <is>
          <t>All</t>
        </is>
      </c>
      <c r="E20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0" s="12" t="inlineStr">
        <is>
          <t>Completeness/Accuracy</t>
        </is>
      </c>
      <c r="G20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0" s="13" t="inlineStr">
        <is>
          <t>Det</t>
        </is>
      </c>
      <c r="I200" s="13" t="inlineStr">
        <is>
          <t>Hybrid</t>
        </is>
      </c>
      <c r="J200" s="13" t="inlineStr">
        <is>
          <t>Per period-close</t>
        </is>
      </c>
      <c r="K200" s="12" t="inlineStr">
        <is>
          <t>Financial Controller</t>
        </is>
      </c>
      <c r="L200" s="13" t="inlineStr">
        <is>
          <t>P16</t>
        </is>
      </c>
      <c r="M20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0" s="12" t="inlineStr">
        <is>
          <t>Inspect the cockpit: the tie-out rows (sub-ledger vs GL control + variance), the readiness checks, the pending-approval ageing, and that the overall RAG turns red on any break.</t>
        </is>
      </c>
      <c r="O20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0" s="12" t="inlineStr">
        <is>
          <t>Close-readiness cockpit (finance/metrics/close/status); harness ToE (finance-kpi)</t>
        </is>
      </c>
      <c r="Q200" s="18" t="inlineStr">
        <is>
          <t>Implemented</t>
        </is>
      </c>
    </row>
    <row r="201">
      <c r="A201" s="15" t="inlineStr">
        <is>
          <t>GL-23</t>
        </is>
      </c>
      <c r="B201" s="16" t="inlineStr">
        <is>
          <t>General Ledger</t>
        </is>
      </c>
      <c r="C201" s="17" t="inlineStr">
        <is>
          <t>Application</t>
        </is>
      </c>
      <c r="D201" s="16" t="inlineStr">
        <is>
          <t>Operating expense; Overhead; Cost centers</t>
        </is>
      </c>
      <c r="E20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1" s="16" t="inlineStr">
        <is>
          <t>Accuracy/Completeness/Presentation</t>
        </is>
      </c>
      <c r="G20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1" s="17" t="inlineStr">
        <is>
          <t>Prev</t>
        </is>
      </c>
      <c r="I201" s="17" t="inlineStr">
        <is>
          <t>Automated</t>
        </is>
      </c>
      <c r="J201" s="17" t="inlineStr">
        <is>
          <t>Per due date / per cycle</t>
        </is>
      </c>
      <c r="K201" s="16" t="inlineStr">
        <is>
          <t>Controller</t>
        </is>
      </c>
      <c r="L201" s="17" t="inlineStr">
        <is>
          <t>P10</t>
        </is>
      </c>
      <c r="M20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1" s="16" t="inlineStr">
        <is>
          <t>Inspect the up-front validation, the exact proportional split (remainder to last target → balanced JE), the scheduled posting as Draft, and the per-period idempotency.</t>
        </is>
      </c>
      <c r="O20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1" s="16" t="inlineStr">
        <is>
          <t>Allocation-cycle definitions; scheduled run log; JE approvals</t>
        </is>
      </c>
      <c r="Q201" s="18" t="inlineStr">
        <is>
          <t>Implemented</t>
        </is>
      </c>
    </row>
    <row r="202">
      <c r="A202" s="11" t="inlineStr">
        <is>
          <t>GL-24</t>
        </is>
      </c>
      <c r="B202" s="12" t="inlineStr">
        <is>
          <t>General Ledger</t>
        </is>
      </c>
      <c r="C202" s="13" t="inlineStr">
        <is>
          <t>Application</t>
        </is>
      </c>
      <c r="D202" s="12" t="inlineStr">
        <is>
          <t>All</t>
        </is>
      </c>
      <c r="E20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2" s="12" t="inlineStr">
        <is>
          <t>Authorization/Accuracy/Completeness</t>
        </is>
      </c>
      <c r="G20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2" s="13" t="inlineStr">
        <is>
          <t>Prev</t>
        </is>
      </c>
      <c r="I202" s="13" t="inlineStr">
        <is>
          <t>Automated</t>
        </is>
      </c>
      <c r="J202" s="13" t="inlineStr">
        <is>
          <t>Event-driven / per rule change</t>
        </is>
      </c>
      <c r="K202" s="12" t="inlineStr">
        <is>
          <t>Financial Controller</t>
        </is>
      </c>
      <c r="L202" s="13" t="inlineStr">
        <is>
          <t>P10</t>
        </is>
      </c>
      <c r="M20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2" s="12" t="inlineStr">
        <is>
          <t>Inspect the registry tiers, the fail-closed validation set, the PendingApproval→distinct-approver flow, the Approved-only resolver + cache bust, and the audit trail.</t>
        </is>
      </c>
      <c r="O20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2" s="12" t="inlineStr">
        <is>
          <t>posting_rule_audit trail; compliance + payroll harness ToE</t>
        </is>
      </c>
      <c r="Q202" s="18" t="inlineStr">
        <is>
          <t>Implemented</t>
        </is>
      </c>
    </row>
    <row r="203">
      <c r="A203" s="15" t="inlineStr">
        <is>
          <t>GL-25</t>
        </is>
      </c>
      <c r="B203" s="16" t="inlineStr">
        <is>
          <t>General Ledger</t>
        </is>
      </c>
      <c r="C203" s="17" t="inlineStr">
        <is>
          <t>Detective</t>
        </is>
      </c>
      <c r="D203" s="16" t="inlineStr">
        <is>
          <t>All</t>
        </is>
      </c>
      <c r="E20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3" s="16" t="inlineStr">
        <is>
          <t>Completeness/Accuracy/Presentation</t>
        </is>
      </c>
      <c r="G20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3" s="17" t="inlineStr">
        <is>
          <t>Det</t>
        </is>
      </c>
      <c r="I203" s="17" t="inlineStr">
        <is>
          <t>Automated</t>
        </is>
      </c>
      <c r="J203" s="17" t="inlineStr">
        <is>
          <t>Per period-close</t>
        </is>
      </c>
      <c r="K203" s="16" t="inlineStr">
        <is>
          <t>Financial Controller</t>
        </is>
      </c>
      <c r="L203" s="17" t="inlineStr">
        <is>
          <t>P10</t>
        </is>
      </c>
      <c r="M20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3" s="16" t="inlineStr">
        <is>
          <t>Inspect the abs+pct breach logic, the forced-explanation gate before sign-off, the maker-checker reviewer≠preparer rule, and that the analysis posts nothing to the GL.</t>
        </is>
      </c>
      <c r="O20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3" s="16" t="inlineStr">
        <is>
          <t>flux_analyses / flux_lines with per-line explanations + reviewer sign-off; flux-analysis harness ToE</t>
        </is>
      </c>
      <c r="Q203" s="18" t="inlineStr">
        <is>
          <t>Implemented</t>
        </is>
      </c>
    </row>
    <row r="204">
      <c r="A204" s="11" t="inlineStr">
        <is>
          <t>GL-26</t>
        </is>
      </c>
      <c r="B204" s="12" t="inlineStr">
        <is>
          <t>General Ledger</t>
        </is>
      </c>
      <c r="C204" s="13" t="inlineStr">
        <is>
          <t>Detective</t>
        </is>
      </c>
      <c r="D204" s="12" t="inlineStr">
        <is>
          <t>All</t>
        </is>
      </c>
      <c r="E20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4" s="12" t="inlineStr">
        <is>
          <t>Completeness/Accuracy/Presentation/Disclosure</t>
        </is>
      </c>
      <c r="G20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4" s="13" t="inlineStr">
        <is>
          <t>Det</t>
        </is>
      </c>
      <c r="I204" s="13" t="inlineStr">
        <is>
          <t>Automated</t>
        </is>
      </c>
      <c r="J204" s="13" t="inlineStr">
        <is>
          <t>Per period-close / reporting package</t>
        </is>
      </c>
      <c r="K204" s="12" t="inlineStr">
        <is>
          <t>Financial Controller / CFO</t>
        </is>
      </c>
      <c r="L204" s="13" t="inlineStr">
        <is>
          <t>P10</t>
        </is>
      </c>
      <c r="M20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4" s="12" t="inlineStr">
        <is>
          <t>Inspect the seeded standard-item set with standard refs/owners, the item complete/NA + support-doc attach, the ITEMS_INCOMPLETE review gate, the SOD_SELF_APPROVAL maker-checker (reviewer ≠ preparer), the Reviewed→Issued release, and the tenant RLS isolation.</t>
        </is>
      </c>
      <c r="O20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4" s="12" t="inlineStr">
        <is>
          <t>disclosure_checklists / disclosure_items with prepared_by/reviewed_by/issued_by sign-off trail + per-item completed_by/support_doc_ref; harness ToE (disclosure-checklist)</t>
        </is>
      </c>
      <c r="Q204" s="18" t="inlineStr">
        <is>
          <t>Implemented</t>
        </is>
      </c>
    </row>
    <row r="205">
      <c r="A205" s="15" t="inlineStr">
        <is>
          <t>GL-27</t>
        </is>
      </c>
      <c r="B205" s="16" t="inlineStr">
        <is>
          <t>General Ledger</t>
        </is>
      </c>
      <c r="C205" s="17" t="inlineStr">
        <is>
          <t>Application</t>
        </is>
      </c>
      <c r="D205" s="16" t="inlineStr">
        <is>
          <t>All</t>
        </is>
      </c>
      <c r="E20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5" s="16" t="inlineStr">
        <is>
          <t>Authorization/Accuracy/Completeness</t>
        </is>
      </c>
      <c r="G20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5" s="17" t="inlineStr">
        <is>
          <t>Prev</t>
        </is>
      </c>
      <c r="I205" s="17" t="inlineStr">
        <is>
          <t>Automated</t>
        </is>
      </c>
      <c r="J205" s="17" t="inlineStr">
        <is>
          <t>Each canonical CoA change</t>
        </is>
      </c>
      <c r="K205" s="16" t="inlineStr">
        <is>
          <t>Platform Admin (HQ) x2 / CFO</t>
        </is>
      </c>
      <c r="L205" s="17" t="inlineStr">
        <is>
          <t>P10</t>
        </is>
      </c>
      <c r="M20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5" s="16" t="inlineStr">
        <is>
          <t>Inspect the fail-closed request-time validation, the PendingApproval→distinct-Admin flow, the AutoApplied single-admin exception rows, and the append-only request trail (payload + before snapshot).</t>
        </is>
      </c>
      <c r="O20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5" s="16" t="inlineStr">
        <is>
          <t>coa_change_requests rows (payload/before/created_by/approved_by/reason); compliance harness + unit ToE</t>
        </is>
      </c>
      <c r="Q205" s="18" t="inlineStr">
        <is>
          <t>Implemented</t>
        </is>
      </c>
    </row>
    <row r="206">
      <c r="A206" s="11" t="inlineStr">
        <is>
          <t>EXP-07</t>
        </is>
      </c>
      <c r="B206" s="12" t="inlineStr">
        <is>
          <t>Expenditure</t>
        </is>
      </c>
      <c r="C206" s="13" t="inlineStr">
        <is>
          <t>Application</t>
        </is>
      </c>
      <c r="D206" s="12" t="inlineStr">
        <is>
          <t>Cash; Operating expense</t>
        </is>
      </c>
      <c r="E206" s="12" t="inlineStr">
        <is>
          <t>Petty-cash / employee advance issued but never accounted for — cash leakage, expense unrecorded.</t>
        </is>
      </c>
      <c r="F206" s="12" t="inlineStr">
        <is>
          <t>Existence/Completeness</t>
        </is>
      </c>
      <c r="G20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6" s="13" t="inlineStr">
        <is>
          <t>Det</t>
        </is>
      </c>
      <c r="I206" s="13" t="inlineStr">
        <is>
          <t>Automated</t>
        </is>
      </c>
      <c r="J206" s="13" t="inlineStr">
        <is>
          <t>Per advance</t>
        </is>
      </c>
      <c r="K206" s="12" t="inlineStr">
        <is>
          <t>AP / Controller</t>
        </is>
      </c>
      <c r="L206" s="13" t="inlineStr">
        <is>
          <t>P10</t>
        </is>
      </c>
      <c r="M206" s="12" t="inlineStr">
        <is>
          <t>finance.service.ts (issueAdvance, settleAdvance reconcile-or-reject, listAdvances outstanding); finance.controller.ts (creditors/exec); schema/finance.ts (employee_advances) + migration 0120; cutover/basics.ts (ToE)</t>
        </is>
      </c>
      <c r="N206" s="12" t="inlineStr">
        <is>
          <t>Inspect issue/settle GL + settlement reconciliation guard.</t>
        </is>
      </c>
      <c r="O206" s="12" t="inlineStr">
        <is>
          <t>Issue an advance (1180 up); settle 700+300 clears 1180; mismatched settle → SETTLE_MISMATCH (re-performed by the harness).</t>
        </is>
      </c>
      <c r="P206" s="12" t="inlineStr">
        <is>
          <t>Advance register; outstanding float</t>
        </is>
      </c>
      <c r="Q206" s="18" t="inlineStr">
        <is>
          <t>Implemented</t>
        </is>
      </c>
    </row>
    <row r="207">
      <c r="A207" s="15" t="inlineStr">
        <is>
          <t>EXP-08</t>
        </is>
      </c>
      <c r="B207" s="16" t="inlineStr">
        <is>
          <t>Expenditure</t>
        </is>
      </c>
      <c r="C207" s="17" t="inlineStr">
        <is>
          <t>Application</t>
        </is>
      </c>
      <c r="D207" s="16" t="inlineStr">
        <is>
          <t>Cash; Operating expense</t>
        </is>
      </c>
      <c r="E207" s="16" t="inlineStr">
        <is>
          <t>Petty-cash disbursed beyond authority / without independent review, or drawn past the fund's limit — cash leakage, unauthorised or unrecorded expense, over-extended float.</t>
        </is>
      </c>
      <c r="F207" s="16" t="inlineStr">
        <is>
          <t>Authorization; Completeness</t>
        </is>
      </c>
      <c r="G20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7" s="17" t="inlineStr">
        <is>
          <t>Prev</t>
        </is>
      </c>
      <c r="I207" s="17" t="inlineStr">
        <is>
          <t>Automated</t>
        </is>
      </c>
      <c r="J207" s="17" t="inlineStr">
        <is>
          <t>Per disbursement</t>
        </is>
      </c>
      <c r="K207" s="16" t="inlineStr">
        <is>
          <t>AP / Controller</t>
        </is>
      </c>
      <c r="L207" s="17" t="inlineStr">
        <is>
          <t>P10</t>
        </is>
      </c>
      <c r="M20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7" s="16" t="inlineStr">
        <is>
          <t>Inspect the float ceiling + the request→approve flow + the approver≠requester check + that the request posts nothing until approval.</t>
        </is>
      </c>
      <c r="O20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7" s="16" t="inlineStr">
        <is>
          <t>Fund register + disbursement approval log + SoD test</t>
        </is>
      </c>
      <c r="Q207" s="18" t="inlineStr">
        <is>
          <t>Implemented</t>
        </is>
      </c>
    </row>
    <row r="208">
      <c r="A208" s="11" t="inlineStr">
        <is>
          <t>EXP-09</t>
        </is>
      </c>
      <c r="B208" s="12" t="inlineStr">
        <is>
          <t>Expenditure</t>
        </is>
      </c>
      <c r="C208" s="13" t="inlineStr">
        <is>
          <t>Application</t>
        </is>
      </c>
      <c r="D208" s="12" t="inlineStr">
        <is>
          <t>Accounts Payable; Cash</t>
        </is>
      </c>
      <c r="E20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8" s="12" t="inlineStr">
        <is>
          <t>Occurrence/Accuracy/Authorization</t>
        </is>
      </c>
      <c r="G20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8" s="13" t="inlineStr">
        <is>
          <t>Prev</t>
        </is>
      </c>
      <c r="I208" s="13" t="inlineStr">
        <is>
          <t>Automated</t>
        </is>
      </c>
      <c r="J208" s="13" t="inlineStr">
        <is>
          <t>Per payment</t>
        </is>
      </c>
      <c r="K208" s="12" t="inlineStr">
        <is>
          <t>AP / Controller</t>
        </is>
      </c>
      <c r="L208" s="13" t="inlineStr">
        <is>
          <t>P10</t>
        </is>
      </c>
      <c r="M208" s="12" t="inlineStr">
        <is>
          <t>finance.service.ts (requestApPayment → matchSvc.assertPayable); match/three-way-match.service.ts (assertPayable fail-open for non-PO, blocks not-payable &amp; not-overridden); finance.controller.ts (ap/transactions/:txnNo/pay); cutover/match.ts (ToE)</t>
        </is>
      </c>
      <c r="N208" s="12" t="inlineStr">
        <is>
          <t>Inspect that the AP-pay request consults assertPayable and that a non-PO bill is exempt while a failed PO invoice is blocked.</t>
        </is>
      </c>
      <c r="O208" s="12" t="inlineStr">
        <is>
          <t>Re-perform: a PO invoice with a qty/price variance over tolerance → pay request MATCH_BLOCKED; an independently-overridden / matched invoice → pay succeeds; a non-PO bill pays unblocked (re-performed by the match harness).</t>
        </is>
      </c>
      <c r="P208" s="12" t="inlineStr">
        <is>
          <t>Blocked-invoice worklist; payment-gate test</t>
        </is>
      </c>
      <c r="Q208" s="18" t="inlineStr">
        <is>
          <t>Implemented</t>
        </is>
      </c>
    </row>
    <row r="209">
      <c r="A209" s="15" t="inlineStr">
        <is>
          <t>EXP-10</t>
        </is>
      </c>
      <c r="B209" s="16" t="inlineStr">
        <is>
          <t>Expenditure</t>
        </is>
      </c>
      <c r="C209" s="17" t="inlineStr">
        <is>
          <t>Application</t>
        </is>
      </c>
      <c r="D209" s="16" t="inlineStr">
        <is>
          <t>Accounts Payable</t>
        </is>
      </c>
      <c r="E209" s="16" t="inlineStr">
        <is>
          <t>A scanned/keyed vendor invoice is booked against the wrong PO (or twice under the same invoice number), or an intake bill bypasses the 3-way match — a mis-mapped or duplicate document becomes a payable and cash is disbursed for it.</t>
        </is>
      </c>
      <c r="F209" s="16" t="inlineStr">
        <is>
          <t>Occurrence/Validity/Accuracy</t>
        </is>
      </c>
      <c r="G20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9" s="17" t="inlineStr">
        <is>
          <t>Prev</t>
        </is>
      </c>
      <c r="I209" s="17" t="inlineStr">
        <is>
          <t>Automated</t>
        </is>
      </c>
      <c r="J209" s="17" t="inlineStr">
        <is>
          <t>Per invoice</t>
        </is>
      </c>
      <c r="K209" s="16" t="inlineStr">
        <is>
          <t>AP / Procurement</t>
        </is>
      </c>
      <c r="L209" s="17" t="inlineStr">
        <is>
          <t>P17</t>
        </is>
      </c>
      <c r="M20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9" s="16" t="inlineStr">
        <is>
          <t>Inspect the mapper's ambiguity/duplicate handling and that posting always runs the match for a PO-mapped intake.</t>
        </is>
      </c>
      <c r="O20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9" s="16" t="inlineStr">
        <is>
          <t>Intake worklist; duplicate/cumulative guard tests</t>
        </is>
      </c>
      <c r="Q209" s="18" t="inlineStr">
        <is>
          <t>Implemented</t>
        </is>
      </c>
    </row>
    <row r="210">
      <c r="A210" s="11" t="inlineStr">
        <is>
          <t>EXP-11</t>
        </is>
      </c>
      <c r="B210" s="12" t="inlineStr">
        <is>
          <t>Expenditure</t>
        </is>
      </c>
      <c r="C210" s="13" t="inlineStr">
        <is>
          <t>Application</t>
        </is>
      </c>
      <c r="D210" s="12" t="inlineStr">
        <is>
          <t>Accounts Payable; Vendor Master</t>
        </is>
      </c>
      <c r="E21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0" s="12" t="inlineStr">
        <is>
          <t>Authorization</t>
        </is>
      </c>
      <c r="G21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0" s="13" t="inlineStr">
        <is>
          <t>Prev</t>
        </is>
      </c>
      <c r="I210" s="13" t="inlineStr">
        <is>
          <t>Auto+Manual</t>
        </is>
      </c>
      <c r="J210" s="13" t="inlineStr">
        <is>
          <t>Per change</t>
        </is>
      </c>
      <c r="K210" s="12" t="inlineStr">
        <is>
          <t>Procurement / Controller</t>
        </is>
      </c>
      <c r="L210" s="13" t="inlineStr">
        <is>
          <t>P10</t>
        </is>
      </c>
      <c r="M21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0" s="12" t="inlineStr">
        <is>
          <t>Inspect the stage→approve routing + the approver≠requester guard + that vendors only changes on approval.</t>
        </is>
      </c>
      <c r="O21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0" s="12" t="inlineStr">
        <is>
          <t>Vendor bank-change approval log</t>
        </is>
      </c>
      <c r="Q210" s="18" t="inlineStr">
        <is>
          <t>Implemented</t>
        </is>
      </c>
    </row>
    <row r="211">
      <c r="A211" s="15" t="inlineStr">
        <is>
          <t>MDM-01</t>
        </is>
      </c>
      <c r="B211" s="16" t="inlineStr">
        <is>
          <t>Expenditure</t>
        </is>
      </c>
      <c r="C211" s="17" t="inlineStr">
        <is>
          <t>Application</t>
        </is>
      </c>
      <c r="D211" s="16" t="inlineStr">
        <is>
          <t>Vendor Master; Accounts Payable; Cash</t>
        </is>
      </c>
      <c r="E21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1" s="16" t="inlineStr">
        <is>
          <t>Authorization/Segregation of Duties</t>
        </is>
      </c>
      <c r="G21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1" s="17" t="inlineStr">
        <is>
          <t>Prev</t>
        </is>
      </c>
      <c r="I211" s="17" t="inlineStr">
        <is>
          <t>Automated</t>
        </is>
      </c>
      <c r="J211" s="17" t="inlineStr">
        <is>
          <t>Per change</t>
        </is>
      </c>
      <c r="K211" s="16" t="inlineStr">
        <is>
          <t>MasterDataAdmin / Controller (segregated)</t>
        </is>
      </c>
      <c r="L211" s="17" t="inlineStr">
        <is>
          <t>P10</t>
        </is>
      </c>
      <c r="M21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1" s="16" t="inlineStr">
        <is>
          <t>Inspect the stage→approve routing, the requester≠approver self-approval block, that the vendor master is written ONLY on approval, that reject/pending leave it unchanged, and that a non-sensitive field is refused by the maker-checker (still edits directly).</t>
        </is>
      </c>
      <c r="O21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1" s="16" t="inlineStr">
        <is>
          <t>Master-data change-request queue (pending/approved/rejected) + before/after; SOD_SELF_APPROVAL / FIELD_NOT_SENSITIVE negatives</t>
        </is>
      </c>
      <c r="Q211" s="18" t="inlineStr">
        <is>
          <t>Implemented</t>
        </is>
      </c>
    </row>
    <row r="212">
      <c r="A212" s="11" t="inlineStr">
        <is>
          <t>EXP-12</t>
        </is>
      </c>
      <c r="B212" s="12" t="inlineStr">
        <is>
          <t>Expenditure</t>
        </is>
      </c>
      <c r="C212" s="13" t="inlineStr">
        <is>
          <t>Application</t>
        </is>
      </c>
      <c r="D212" s="12" t="inlineStr">
        <is>
          <t>Inventory; Accounts Payable</t>
        </is>
      </c>
      <c r="E21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2" s="12" t="inlineStr">
        <is>
          <t>Existence/Accuracy/Completeness</t>
        </is>
      </c>
      <c r="G21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2" s="13" t="inlineStr">
        <is>
          <t>Prev</t>
        </is>
      </c>
      <c r="I212" s="13" t="inlineStr">
        <is>
          <t>Automated</t>
        </is>
      </c>
      <c r="J212" s="13" t="inlineStr">
        <is>
          <t>Per receipt</t>
        </is>
      </c>
      <c r="K212" s="12" t="inlineStr">
        <is>
          <t>Warehouse / Procurement</t>
        </is>
      </c>
      <c r="L212" s="13" t="inlineStr">
        <is>
          <t>P17</t>
        </is>
      </c>
      <c r="M21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2" s="12" t="inlineStr">
        <is>
          <t>Inspect the over-receipt gate (aggregate per item, weight-UoM tolerance), the claim-window check against the GR timestamp, the close-short line binding, and the tolerance-change permission.</t>
        </is>
      </c>
      <c r="O21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2" s="12" t="inlineStr">
        <is>
          <t>GR summary (ordered vs received); OVER_RECEIPT / CLAIM_WINDOW_CLOSED / PO_LINE_CLOSED negatives; claim photo attachment</t>
        </is>
      </c>
      <c r="Q212" s="18" t="inlineStr">
        <is>
          <t>Implemented</t>
        </is>
      </c>
    </row>
    <row r="213">
      <c r="A213" s="15" t="inlineStr">
        <is>
          <t>QC-04</t>
        </is>
      </c>
      <c r="B213" s="16" t="inlineStr">
        <is>
          <t>Expenditure</t>
        </is>
      </c>
      <c r="C213" s="17" t="inlineStr">
        <is>
          <t>Application</t>
        </is>
      </c>
      <c r="D213" s="16" t="inlineStr">
        <is>
          <t>Inventory; Vendor performance / supplier quality</t>
        </is>
      </c>
      <c r="E21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3" s="16" t="inlineStr">
        <is>
          <t>Accuracy/Authorization/Segregation of Duties</t>
        </is>
      </c>
      <c r="G21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3" s="17" t="inlineStr">
        <is>
          <t>Prev/Det</t>
        </is>
      </c>
      <c r="I213" s="17" t="inlineStr">
        <is>
          <t>Automated</t>
        </is>
      </c>
      <c r="J213" s="17" t="inlineStr">
        <is>
          <t>Per SCAR / continuous</t>
        </is>
      </c>
      <c r="K213" s="16" t="inlineStr">
        <is>
          <t>Quality Manager / Supplier-Quality Reviewer (segregated)</t>
        </is>
      </c>
      <c r="L213" s="17" t="inlineStr">
        <is>
          <t>P17</t>
        </is>
      </c>
      <c r="M21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3" s="16" t="inlineStr">
        <is>
          <t>Inspect the raise-from-real-claim gate, the 8D-completeness closure precondition, the raiser≠closer self-approval block, the recorded effectiveness verdict (requalification gate), and the overdue detective worklist.</t>
        </is>
      </c>
      <c r="O21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3" s="16" t="inlineStr">
        <is>
          <t>SCAR register (open/responded/pending/closed/rejected) + 8D fields; closure maker-checker log (closed_by/effectiveness); overdue SCAR worklist</t>
        </is>
      </c>
      <c r="Q213" s="18" t="inlineStr">
        <is>
          <t>Implemented</t>
        </is>
      </c>
    </row>
    <row r="214">
      <c r="A214" s="11" t="inlineStr">
        <is>
          <t>EXP-13</t>
        </is>
      </c>
      <c r="B214" s="12" t="inlineStr">
        <is>
          <t>Expenditure</t>
        </is>
      </c>
      <c r="C214" s="13" t="inlineStr">
        <is>
          <t>Application</t>
        </is>
      </c>
      <c r="D214" s="12" t="inlineStr">
        <is>
          <t>Accounts Payable; Cash</t>
        </is>
      </c>
      <c r="E21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4" s="12" t="inlineStr">
        <is>
          <t>Authorization/Accuracy</t>
        </is>
      </c>
      <c r="G21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4" s="13" t="inlineStr">
        <is>
          <t>Prev</t>
        </is>
      </c>
      <c r="I214" s="13" t="inlineStr">
        <is>
          <t>Auto+Manual</t>
        </is>
      </c>
      <c r="J214" s="13" t="inlineStr">
        <is>
          <t>Per run</t>
        </is>
      </c>
      <c r="K214" s="12" t="inlineStr">
        <is>
          <t>AP / Controller / Treasury</t>
        </is>
      </c>
      <c r="L214" s="13" t="inlineStr">
        <is>
          <t>P18</t>
        </is>
      </c>
      <c r="M21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4" s="12" t="inlineStr">
        <is>
          <t>Inspect the run lifecycle (Draft→PendingApproval→Approved→Executed), the proposer≠approver/executor guards, the per-line match gate, the per-line idempotency, the fail-closed bank-file generation + hash pinning, and the statement-clearing hook.</t>
        </is>
      </c>
      <c r="O21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4" s="12" t="inlineStr">
        <is>
          <t>Payment-run approval log; per-line APP/PAY-AP references; bank-file SHA-256 status-log entries; cleared-line progress</t>
        </is>
      </c>
      <c r="Q214" s="18" t="inlineStr">
        <is>
          <t>Implemented</t>
        </is>
      </c>
    </row>
    <row r="215">
      <c r="A215" s="15" t="inlineStr">
        <is>
          <t>EXP-14</t>
        </is>
      </c>
      <c r="B215" s="16" t="inlineStr">
        <is>
          <t>Expenditure</t>
        </is>
      </c>
      <c r="C215" s="17" t="inlineStr">
        <is>
          <t>Application</t>
        </is>
      </c>
      <c r="D215" s="16" t="inlineStr">
        <is>
          <t>Accounts Payable; Cash</t>
        </is>
      </c>
      <c r="E21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5" s="16" t="inlineStr">
        <is>
          <t>Authorization/Accuracy/Occurrence</t>
        </is>
      </c>
      <c r="G21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5" s="17" t="inlineStr">
        <is>
          <t>Prev</t>
        </is>
      </c>
      <c r="I215" s="17" t="inlineStr">
        <is>
          <t>Auto+Manual</t>
        </is>
      </c>
      <c r="J215" s="17" t="inlineStr">
        <is>
          <t>Per policy change / per run</t>
        </is>
      </c>
      <c r="K215" s="16" t="inlineStr">
        <is>
          <t>AP / Controller / Treasury</t>
        </is>
      </c>
      <c r="L215" s="17" t="inlineStr">
        <is>
          <t>P18</t>
        </is>
      </c>
      <c r="M21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5" s="16" t="inlineStr">
        <is>
          <t>Inspect the policy maker-checker (creator≠activator, one Active policy per vendor scope), the days-early/sliding-scale computation + the cash-out cap, and the balanced Dr 1000 / Cr 4600 discount posting keyed for idempotency.</t>
        </is>
      </c>
      <c r="O21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5" s="16" t="inlineStr">
        <is>
          <t>Discount-policy approval log; per-run projected_discount + total_discount; AP-DISC discount-income journal entries</t>
        </is>
      </c>
      <c r="Q215" s="18" t="inlineStr">
        <is>
          <t>Implemented</t>
        </is>
      </c>
    </row>
    <row r="216">
      <c r="A216" s="11" t="inlineStr">
        <is>
          <t>FA-07</t>
        </is>
      </c>
      <c r="B216" s="12" t="inlineStr">
        <is>
          <t>Fixed Assets</t>
        </is>
      </c>
      <c r="C216" s="13" t="inlineStr">
        <is>
          <t>Application</t>
        </is>
      </c>
      <c r="D216" s="12" t="inlineStr">
        <is>
          <t>Property, Plant &amp; Equipment; Equity</t>
        </is>
      </c>
      <c r="E216" s="12" t="inlineStr">
        <is>
          <t>Carrying amount not adjusted for revaluation/impairment — asset over/understated.</t>
        </is>
      </c>
      <c r="F216" s="12" t="inlineStr">
        <is>
          <t>Valuation</t>
        </is>
      </c>
      <c r="G21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6" s="13" t="inlineStr">
        <is>
          <t>Det</t>
        </is>
      </c>
      <c r="I216" s="13" t="inlineStr">
        <is>
          <t>Automated</t>
        </is>
      </c>
      <c r="J216" s="13" t="inlineStr">
        <is>
          <t>Per event</t>
        </is>
      </c>
      <c r="K216" s="12" t="inlineStr">
        <is>
          <t>FaAccountant / Controller</t>
        </is>
      </c>
      <c r="L216" s="13" t="inlineStr">
        <is>
          <t>P10</t>
        </is>
      </c>
      <c r="M216" s="12" t="inlineStr">
        <is>
          <t>assets.service.ts (revalue up→3200 / down→5820, listRevaluations; dispose recycles surplus 3200→3100); assets.controller.ts (exec/creditors); schema/assets.ts (asset_revaluations) + migration 0120; cutover/basics.ts (ToE)</t>
        </is>
      </c>
      <c r="N216" s="12" t="inlineStr">
        <is>
          <t>Inspect revaluation/impairment routing + audit log + disposal recycling.</t>
        </is>
      </c>
      <c r="O216" s="12" t="inlineStr">
        <is>
          <t>Upward revaluation credits 3200; impairment debits 5820; no-change → NO_CHANGE; both events logged; on disposal the revaluation surplus is recycled to retained earnings (Dr 3200 / Cr 3100), not through P&amp;L (re-performed by the harness).</t>
        </is>
      </c>
      <c r="P216" s="12" t="inlineStr">
        <is>
          <t>Revaluation log; disposal recycling JE</t>
        </is>
      </c>
      <c r="Q216" s="18" t="inlineStr">
        <is>
          <t>Implemented</t>
        </is>
      </c>
    </row>
    <row r="217">
      <c r="A217" s="15" t="inlineStr">
        <is>
          <t>FA-08</t>
        </is>
      </c>
      <c r="B217" s="16" t="inlineStr">
        <is>
          <t>Fixed Assets</t>
        </is>
      </c>
      <c r="C217" s="17" t="inlineStr">
        <is>
          <t>Application</t>
        </is>
      </c>
      <c r="D217" s="16" t="inlineStr">
        <is>
          <t>Property, Plant &amp; Equipment; Equity</t>
        </is>
      </c>
      <c r="E217" s="16" t="inlineStr">
        <is>
          <t>Carrying amount changed by fair-value revaluation/impairment without independent review — the preparer revalues the asset and posts to equity/P&amp;L on their own (earnings/equity management).</t>
        </is>
      </c>
      <c r="F217" s="16" t="inlineStr">
        <is>
          <t>Authorization</t>
        </is>
      </c>
      <c r="G21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7" s="17" t="inlineStr">
        <is>
          <t>Prev</t>
        </is>
      </c>
      <c r="I217" s="17" t="inlineStr">
        <is>
          <t>Automated</t>
        </is>
      </c>
      <c r="J217" s="17" t="inlineStr">
        <is>
          <t>Per event</t>
        </is>
      </c>
      <c r="K217" s="16" t="inlineStr">
        <is>
          <t>FaAccountant / Controller</t>
        </is>
      </c>
      <c r="L217" s="17" t="inlineStr">
        <is>
          <t>P10</t>
        </is>
      </c>
      <c r="M217" s="16" t="inlineStr">
        <is>
          <t>assets.service.ts revalue(pendingApproval Draft)/approveRevaluation/rejectRevaluation; assets.controller.ts (:assetNo/revalue/approve|reject); schema/assets.ts asset_revaluations.status + migration 0134; cutover/basics.ts + compliance.ts (ToE)</t>
        </is>
      </c>
      <c r="N217" s="16" t="inlineStr">
        <is>
          <t>Inspect Draft→approve flow + the approver≠preparer check + deferred carrying-value update.</t>
        </is>
      </c>
      <c r="O217" s="16" t="inlineStr">
        <is>
          <t>Re-perform: request a revaluation (Draft JE excluded from 3200), attempt self-approve (SOD_VIOLATION), approve as a different user; confirm the surplus/impairment + carrying value move only after approval (re-performed by the harnesses).</t>
        </is>
      </c>
      <c r="P217" s="16" t="inlineStr">
        <is>
          <t>Revaluation approval log + SoD test</t>
        </is>
      </c>
      <c r="Q217" s="18" t="inlineStr">
        <is>
          <t>Implemented</t>
        </is>
      </c>
    </row>
    <row r="218">
      <c r="A218" s="11" t="inlineStr">
        <is>
          <t>LSE-01</t>
        </is>
      </c>
      <c r="B218" s="12" t="inlineStr">
        <is>
          <t>Leases</t>
        </is>
      </c>
      <c r="C218" s="13" t="inlineStr">
        <is>
          <t>Application</t>
        </is>
      </c>
      <c r="D218" s="12" t="inlineStr">
        <is>
          <t>Right-of-use assets; Lease liabilities</t>
        </is>
      </c>
      <c r="E218" s="12" t="inlineStr">
        <is>
          <t>Lease not capitalised (IFRS 16 / TFRS 16) — ROU asset + lease liability omitted; interest/depreciation mis-stated.</t>
        </is>
      </c>
      <c r="F218" s="12" t="inlineStr">
        <is>
          <t>Completeness/Accuracy/Valuation</t>
        </is>
      </c>
      <c r="G21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8" s="13" t="inlineStr">
        <is>
          <t>Det</t>
        </is>
      </c>
      <c r="I218" s="13" t="inlineStr">
        <is>
          <t>Automated</t>
        </is>
      </c>
      <c r="J218" s="13" t="inlineStr">
        <is>
          <t>Per period / per lease</t>
        </is>
      </c>
      <c r="K218" s="12" t="inlineStr">
        <is>
          <t>Controller</t>
        </is>
      </c>
      <c r="L218" s="13" t="inlineStr">
        <is>
          <t>P10</t>
        </is>
      </c>
      <c r="M218" s="12" t="inlineStr">
        <is>
          <t>leases.service.ts (createLease PV recognition, runDueLeases interest+payment+depreciation, modifyLease remeasurement); leases.controller.ts (gl_post); bi.service.ts (lease_periodic_run); schema/leases.ts (leases, rou_nbv) + migration 0120/0121; cutover/basics.ts (ToE)</t>
        </is>
      </c>
      <c r="N218" s="12" t="inlineStr">
        <is>
          <t>Inspect PV recognition + periodic interest/payment/depreciation + final-period clearing + modification remeasurement.</t>
        </is>
      </c>
      <c r="O21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8" s="12" t="inlineStr">
        <is>
          <t>Lease register; periodic run log; modification remeasurement</t>
        </is>
      </c>
      <c r="Q218" s="18" t="inlineStr">
        <is>
          <t>Implemented</t>
        </is>
      </c>
    </row>
    <row r="219">
      <c r="A219" s="15" t="inlineStr">
        <is>
          <t>LSE-02</t>
        </is>
      </c>
      <c r="B219" s="16" t="inlineStr">
        <is>
          <t>Leases</t>
        </is>
      </c>
      <c r="C219" s="17" t="inlineStr">
        <is>
          <t>Application</t>
        </is>
      </c>
      <c r="D219" s="16" t="inlineStr">
        <is>
          <t>Net investment in lease; Interest income; Rental income</t>
        </is>
      </c>
      <c r="E21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9" s="16" t="inlineStr">
        <is>
          <t>Completeness/Accuracy/Valuation/Presentation</t>
        </is>
      </c>
      <c r="G21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9" s="17" t="inlineStr">
        <is>
          <t>Prev/Det</t>
        </is>
      </c>
      <c r="I219" s="17" t="inlineStr">
        <is>
          <t>Automated</t>
        </is>
      </c>
      <c r="J219" s="17" t="inlineStr">
        <is>
          <t>Per lease (classification/approval) / per period (income)</t>
        </is>
      </c>
      <c r="K219" s="16" t="inlineStr">
        <is>
          <t>Controller</t>
        </is>
      </c>
      <c r="L219" s="17" t="inlineStr">
        <is>
          <t>P10/P13</t>
        </is>
      </c>
      <c r="M21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9" s="16" t="inlineStr">
        <is>
          <t>Inspect classification against the IFRS 16 lessor criteria, the maker-checker (creator ≠ approver) gate, finance-lease derecognition + net-investment recognition, periodic interest/rental income + depreciation, and the 1610 tie-out.</t>
        </is>
      </c>
      <c r="O21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9" s="16" t="inlineStr">
        <is>
          <t>Lessor lease register; classification approvals; periodic income log; net-investment reconciliation</t>
        </is>
      </c>
      <c r="Q219" s="18" t="inlineStr">
        <is>
          <t>Implemented</t>
        </is>
      </c>
    </row>
    <row r="220">
      <c r="A220" s="11" t="inlineStr">
        <is>
          <t>REC-01</t>
        </is>
      </c>
      <c r="B220" s="12" t="inlineStr">
        <is>
          <t>Reconciliation</t>
        </is>
      </c>
      <c r="C220" s="13" t="inlineStr">
        <is>
          <t>Application</t>
        </is>
      </c>
      <c r="D220" s="12" t="inlineStr">
        <is>
          <t>All</t>
        </is>
      </c>
      <c r="E220" s="12" t="inlineStr">
        <is>
          <t>Subledgers diverge from GL undetected.</t>
        </is>
      </c>
      <c r="F220" s="12" t="inlineStr">
        <is>
          <t>Completeness/Accuracy</t>
        </is>
      </c>
      <c r="G220" s="12" t="inlineStr">
        <is>
          <t>Subledger-to-GL reconciliation per period: import GL, auto-match, certify (sign-off via 'approvals').</t>
        </is>
      </c>
      <c r="H220" s="13" t="inlineStr">
        <is>
          <t>Det</t>
        </is>
      </c>
      <c r="I220" s="13" t="inlineStr">
        <is>
          <t>Auto+Manual</t>
        </is>
      </c>
      <c r="J220" s="13" t="inlineStr">
        <is>
          <t>Monthly</t>
        </is>
      </c>
      <c r="K220" s="12" t="inlineStr">
        <is>
          <t>Controller</t>
        </is>
      </c>
      <c r="L220" s="13" t="inlineStr">
        <is>
          <t>P16</t>
        </is>
      </c>
      <c r="M220" s="12" t="inlineStr">
        <is>
          <t>reconciliation.service.ts (importGlItems/autoMatch/certify)</t>
        </is>
      </c>
      <c r="N220" s="12" t="inlineStr">
        <is>
          <t>Inspect recon + certify gate.</t>
        </is>
      </c>
      <c r="O220" s="12" t="inlineStr">
        <is>
          <t>Sample periods: reconciled, unmatched cleared, certified.</t>
        </is>
      </c>
      <c r="P220" s="12" t="inlineStr">
        <is>
          <t>Certified recon</t>
        </is>
      </c>
      <c r="Q220" s="18" t="inlineStr">
        <is>
          <t>Implemented</t>
        </is>
      </c>
    </row>
    <row r="221">
      <c r="A221" s="15" t="inlineStr">
        <is>
          <t>REC-02</t>
        </is>
      </c>
      <c r="B221" s="16" t="inlineStr">
        <is>
          <t>Reconciliation</t>
        </is>
      </c>
      <c r="C221" s="17" t="inlineStr">
        <is>
          <t>Application</t>
        </is>
      </c>
      <c r="D221" s="16" t="inlineStr">
        <is>
          <t>Cash</t>
        </is>
      </c>
      <c r="E221" s="16" t="inlineStr">
        <is>
          <t>Bank balance not reconciled to GL.</t>
        </is>
      </c>
      <c r="F221" s="16" t="inlineStr">
        <is>
          <t>Existence/Completeness</t>
        </is>
      </c>
      <c r="G221" s="16" t="inlineStr">
        <is>
          <t>Bank reconciliation against statements.</t>
        </is>
      </c>
      <c r="H221" s="17" t="inlineStr">
        <is>
          <t>Det</t>
        </is>
      </c>
      <c r="I221" s="17" t="inlineStr">
        <is>
          <t>Auto+Manual</t>
        </is>
      </c>
      <c r="J221" s="17" t="inlineStr">
        <is>
          <t>Monthly</t>
        </is>
      </c>
      <c r="K221" s="16" t="inlineStr">
        <is>
          <t>Controller</t>
        </is>
      </c>
      <c r="L221" s="17" t="inlineStr">
        <is>
          <t>P16</t>
        </is>
      </c>
      <c r="M221" s="16" t="inlineStr">
        <is>
          <t>bank module; drizzle/0015_bank_reconciliation</t>
        </is>
      </c>
      <c r="N221" s="16" t="inlineStr">
        <is>
          <t>Inspect bank-rec process.</t>
        </is>
      </c>
      <c r="O221" s="16" t="inlineStr">
        <is>
          <t>Sample months reconciled &amp; reviewed.</t>
        </is>
      </c>
      <c r="P221" s="16" t="inlineStr">
        <is>
          <t>Bank rec</t>
        </is>
      </c>
      <c r="Q221" s="18" t="inlineStr">
        <is>
          <t>Implemented</t>
        </is>
      </c>
    </row>
    <row r="222">
      <c r="A222" s="11" t="inlineStr">
        <is>
          <t>BANK-02</t>
        </is>
      </c>
      <c r="B222" s="12" t="inlineStr">
        <is>
          <t>Cash &amp; Treasury</t>
        </is>
      </c>
      <c r="C222" s="13" t="inlineStr">
        <is>
          <t>Application</t>
        </is>
      </c>
      <c r="D222" s="12" t="inlineStr">
        <is>
          <t>Cash; Operating expense; Interest income</t>
        </is>
      </c>
      <c r="E222" s="12" t="inlineStr">
        <is>
          <t>A bank fee/interest adjustment is posted straight to the GL by one person during reconciliation — a cash outflow mis-booked as interest income, or a fictitious fee posted, with no independent review (single-person posting to the cash account).</t>
        </is>
      </c>
      <c r="F222" s="12" t="inlineStr">
        <is>
          <t>Authorization/Accuracy</t>
        </is>
      </c>
      <c r="G22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2" s="13" t="inlineStr">
        <is>
          <t>Prev</t>
        </is>
      </c>
      <c r="I222" s="13" t="inlineStr">
        <is>
          <t>Automated</t>
        </is>
      </c>
      <c r="J222" s="13" t="inlineStr">
        <is>
          <t>Per adjustment</t>
        </is>
      </c>
      <c r="K222" s="12" t="inlineStr">
        <is>
          <t>Controller</t>
        </is>
      </c>
      <c r="L222" s="13" t="inlineStr">
        <is>
          <t>P10</t>
        </is>
      </c>
      <c r="M222" s="12" t="inlineStr">
        <is>
          <t>bank.service.ts requestAdjustment/approveAdjustment/rejectAdjustment/listPendingAdjustments (reuses ledger.approveEntry SoD); bank.controller.ts (lines/:id/adjustment requests; adjustment/approve|reject gated approvals/gl_close); cutover/bankrec.ts (ToE)</t>
        </is>
      </c>
      <c r="N222" s="12" t="inlineStr">
        <is>
          <t>Inspect the request→approve flow + the approver≠requester check + that the Draft posts nothing until approval.</t>
        </is>
      </c>
      <c r="O222" s="12" t="inlineStr">
        <is>
          <t>Re-perform: request a fee adjustment (line unreconciled, GL difference unchanged), attempt self-approve (SOD_VIOLATION), approve as a different user; confirm the difference closes to 0 only after approval (re-performed by the bankrec harness).</t>
        </is>
      </c>
      <c r="P222" s="12" t="inlineStr">
        <is>
          <t>Bank adjustment queue + SoD test</t>
        </is>
      </c>
      <c r="Q222" s="18" t="inlineStr">
        <is>
          <t>Implemented</t>
        </is>
      </c>
    </row>
    <row r="223">
      <c r="A223" s="15" t="inlineStr">
        <is>
          <t>REC-03</t>
        </is>
      </c>
      <c r="B223" s="16" t="inlineStr">
        <is>
          <t>Reconciliation</t>
        </is>
      </c>
      <c r="C223" s="17" t="inlineStr">
        <is>
          <t>Application</t>
        </is>
      </c>
      <c r="D223" s="16" t="inlineStr">
        <is>
          <t>Consolidation</t>
        </is>
      </c>
      <c r="E223" s="16" t="inlineStr">
        <is>
          <t>Intercompany balances eliminated without an independent reconciliation sign-off.</t>
        </is>
      </c>
      <c r="F223" s="16" t="inlineStr">
        <is>
          <t>Accuracy</t>
        </is>
      </c>
      <c r="G22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3" s="17" t="inlineStr">
        <is>
          <t>Det</t>
        </is>
      </c>
      <c r="I223" s="17" t="inlineStr">
        <is>
          <t>Auto+Manual</t>
        </is>
      </c>
      <c r="J223" s="17" t="inlineStr">
        <is>
          <t>Period</t>
        </is>
      </c>
      <c r="K223" s="16" t="inlineStr">
        <is>
          <t>Group Controller</t>
        </is>
      </c>
      <c r="L223" s="17" t="inlineStr">
        <is>
          <t>P16</t>
        </is>
      </c>
      <c r="M223" s="16" t="inlineStr">
        <is>
          <t>modules/ic-reconciliation/ic-recon.service.ts (prepare/approve, SoD + eliminates gate); consolidation.service.ts runConsolidation (IC_RECON_NOT_APPROVED gate); ic_recon_periods (0205, RLS); cutover/consolidation.ts (ToE)</t>
        </is>
      </c>
      <c r="N223" s="16" t="inlineStr">
        <is>
          <t>Inspect the per-period IC reconciliation sign-off + the consolidation gate.</t>
        </is>
      </c>
      <c r="O223" s="16" t="inlineStr">
        <is>
          <t>Re-perform: consolidation is blocked before sign-off (IC_RECON_NOT_APPROVED); the preparer cannot approve their own reconciliation (SOD_VIOLATION); an independent approver signs off (balances eliminate) → consolidation proceeds.</t>
        </is>
      </c>
      <c r="P223" s="16" t="inlineStr">
        <is>
          <t>IC reconciliation sign-off + consolidation gate ToE</t>
        </is>
      </c>
      <c r="Q223" s="18" t="inlineStr">
        <is>
          <t>Implemented</t>
        </is>
      </c>
    </row>
    <row r="224">
      <c r="A224" s="11" t="inlineStr">
        <is>
          <t>REC-04</t>
        </is>
      </c>
      <c r="B224" s="12" t="inlineStr">
        <is>
          <t>Reconciliation</t>
        </is>
      </c>
      <c r="C224" s="13" t="inlineStr">
        <is>
          <t>Application</t>
        </is>
      </c>
      <c r="D224" s="12" t="inlineStr">
        <is>
          <t>All control accounts</t>
        </is>
      </c>
      <c r="E224" s="12" t="inlineStr">
        <is>
          <t>A sub-ledger silently drifts from its GL control account at period-end and no single review catches it (incomplete/inaccurate balances reach the financial statements).</t>
        </is>
      </c>
      <c r="F224" s="12" t="inlineStr">
        <is>
          <t>Completeness/Accuracy</t>
        </is>
      </c>
      <c r="G22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4" s="13" t="inlineStr">
        <is>
          <t>Det</t>
        </is>
      </c>
      <c r="I224" s="13" t="inlineStr">
        <is>
          <t>Automated</t>
        </is>
      </c>
      <c r="J224" s="13" t="inlineStr">
        <is>
          <t>Period / on demand</t>
        </is>
      </c>
      <c r="K224" s="12" t="inlineStr">
        <is>
          <t>Controller / CFO</t>
        </is>
      </c>
      <c r="L224" s="13" t="inlineStr">
        <is>
          <t>P16</t>
        </is>
      </c>
      <c r="M224" s="12" t="inlineStr">
        <is>
          <t>finance.service.ts reconcileControls; finance.controller.ts GET reconciliation/controls (exec/ar/creditors); reuses ledger.trialBalance + the AR/AP/inventory/gift-card/deferred sub-ledgers; cutover/giftcards.ts + compliance.ts (ToE)</t>
        </is>
      </c>
      <c r="N224" s="12" t="inlineStr">
        <is>
          <t>Inspect the pack: each control account's sub-ledger query + the GL tie + the exceptions roll-up.</t>
        </is>
      </c>
      <c r="O224" s="12" t="inlineStr">
        <is>
          <t>Re-perform: with a clean set, every line reconciled + all_reconciled=true; introduce a known sub-ledger/GL difference and confirm it surfaces as an exception (re-performed: gift-card 2200 + inventory 1200 ties asserted by the harnesses).</t>
        </is>
      </c>
      <c r="P224" s="12" t="inlineStr">
        <is>
          <t>Reconciliation pack; exceptions list</t>
        </is>
      </c>
      <c r="Q224" s="18" t="inlineStr">
        <is>
          <t>Implemented</t>
        </is>
      </c>
    </row>
    <row r="225">
      <c r="A225" s="15" t="inlineStr">
        <is>
          <t>REC-05</t>
        </is>
      </c>
      <c r="B225" s="16" t="inlineStr">
        <is>
          <t>Reconciliation</t>
        </is>
      </c>
      <c r="C225" s="17" t="inlineStr">
        <is>
          <t>Application</t>
        </is>
      </c>
      <c r="D225" s="16" t="inlineStr">
        <is>
          <t>Cash; Bank</t>
        </is>
      </c>
      <c r="E225" s="16" t="inlineStr">
        <is>
          <t>Till cash dropped to the safe never reaches the bank, or a deposit isn't matched to the statement — cash sits unbanked (theft/loss exposure) or the bank balance can't be tied to the books.</t>
        </is>
      </c>
      <c r="F225" s="16" t="inlineStr">
        <is>
          <t>Completeness/Existence/Authorization</t>
        </is>
      </c>
      <c r="G22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5" s="17" t="inlineStr">
        <is>
          <t>Det/Prev</t>
        </is>
      </c>
      <c r="I225" s="17" t="inlineStr">
        <is>
          <t>Auto+Manual</t>
        </is>
      </c>
      <c r="J225" s="17" t="inlineStr">
        <is>
          <t>Per banking run</t>
        </is>
      </c>
      <c r="K225" s="16" t="inlineStr">
        <is>
          <t>FinancialController / Treasury</t>
        </is>
      </c>
      <c r="L225" s="17" t="inlineStr">
        <is>
          <t>P16</t>
        </is>
      </c>
      <c r="M22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5" s="16" t="inlineStr">
        <is>
          <t>Inspect the undeposited-drop exposure read + the deposit GL (bank↔1000) + the reconcile step + the SoD (cashier vs treasury).</t>
        </is>
      </c>
      <c r="O225" s="16" t="inlineStr">
        <is>
          <t>Re-perform: two till drops → cash-in-safe shows the total; a cashier (pos_till) cannot bank (403); treasury banks → Dr bank / Cr 1000, cash-in-safe back to 0; reconcile the deposit; trial balance balanced (re-performed by the cash-banking harness).</t>
        </is>
      </c>
      <c r="P225" s="16" t="inlineStr">
        <is>
          <t>Bank-deposit register; undeposited-drop (cash-in-safe) exposure</t>
        </is>
      </c>
      <c r="Q225" s="18" t="inlineStr">
        <is>
          <t>Implemented</t>
        </is>
      </c>
    </row>
    <row r="226">
      <c r="A226" s="11" t="inlineStr">
        <is>
          <t>TR-01</t>
        </is>
      </c>
      <c r="B226" s="12" t="inlineStr">
        <is>
          <t>Cash &amp; Treasury</t>
        </is>
      </c>
      <c r="C226" s="13" t="inlineStr">
        <is>
          <t>Detective</t>
        </is>
      </c>
      <c r="D226" s="12" t="inlineStr">
        <is>
          <t>Cash; Bank</t>
        </is>
      </c>
      <c r="E22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6" s="12" t="inlineStr">
        <is>
          <t>Completeness/Accuracy</t>
        </is>
      </c>
      <c r="G22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6" s="13" t="inlineStr">
        <is>
          <t>Det</t>
        </is>
      </c>
      <c r="I226" s="13" t="inlineStr">
        <is>
          <t>Hybrid</t>
        </is>
      </c>
      <c r="J226" s="13" t="inlineStr">
        <is>
          <t>Weekly / per treasury review</t>
        </is>
      </c>
      <c r="K226" s="12" t="inlineStr">
        <is>
          <t>Treasurer / Controller</t>
        </is>
      </c>
      <c r="L226" s="13" t="inlineStr">
        <is>
          <t>P16</t>
        </is>
      </c>
      <c r="M22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6" s="12" t="inlineStr">
        <is>
          <t>Inspect the cash/bank position (ties to the trial balance), the 13-week forecast + projected trough, the liquidity KPIs, and the FX exposure by currency.</t>
        </is>
      </c>
      <c r="O22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6" s="12" t="inlineStr">
        <is>
          <t>Cash-position / treasury board (finance/metrics/cash/position); harness ToE (finance-kpi)</t>
        </is>
      </c>
      <c r="Q226" s="18" t="inlineStr">
        <is>
          <t>Implemented</t>
        </is>
      </c>
    </row>
    <row r="227">
      <c r="A227" s="15" t="inlineStr">
        <is>
          <t>TRE-01</t>
        </is>
      </c>
      <c r="B227" s="16" t="inlineStr">
        <is>
          <t>Cash &amp; Treasury</t>
        </is>
      </c>
      <c r="C227" s="17" t="inlineStr">
        <is>
          <t>Application</t>
        </is>
      </c>
      <c r="D227" s="16" t="inlineStr">
        <is>
          <t>Short-term Borrowings (2500); Long-term Borrowings (2550); Accrued Interest Payable (2450); Interest Expense (5900); Bank (1010)</t>
        </is>
      </c>
      <c r="E22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7" s="16" t="inlineStr">
        <is>
          <t>Accuracy/Valuation/Completeness/Authorization/Segregation of Duties</t>
        </is>
      </c>
      <c r="G22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7" s="17" t="inlineStr">
        <is>
          <t>Prev</t>
        </is>
      </c>
      <c r="I227" s="17" t="inlineStr">
        <is>
          <t>Automated</t>
        </is>
      </c>
      <c r="J227" s="17" t="inlineStr">
        <is>
          <t>Per drawdown / monthly accrual</t>
        </is>
      </c>
      <c r="K227" s="16" t="inlineStr">
        <is>
          <t>Treasury / Financial Controller</t>
        </is>
      </c>
      <c r="L227" s="17" t="inlineStr">
        <is>
          <t>P10</t>
        </is>
      </c>
      <c r="M22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7" s="16" t="inlineStr">
        <is>
          <t>Debt &amp; borrowings register (facility Open→Approved, drawdown/repayment, EIR amortization schedule + cursor); the DEBT-DRAW/DEBT-ACCR/DEBT-REPAY JEs; the maturity ladder</t>
        </is>
      </c>
      <c r="Q227" s="18" t="inlineStr">
        <is>
          <t>Implemented</t>
        </is>
      </c>
    </row>
    <row r="228">
      <c r="A228" s="11" t="inlineStr">
        <is>
          <t>TRE-02</t>
        </is>
      </c>
      <c r="B228" s="12" t="inlineStr">
        <is>
          <t>Cash &amp; Treasury</t>
        </is>
      </c>
      <c r="C228" s="13" t="inlineStr">
        <is>
          <t>Detective</t>
        </is>
      </c>
      <c r="D228" s="12" t="inlineStr">
        <is>
          <t>Borrowings; Debt covenants</t>
        </is>
      </c>
      <c r="E22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8" s="12" t="inlineStr">
        <is>
          <t>Completeness/Timeliness</t>
        </is>
      </c>
      <c r="G22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8" s="13" t="inlineStr">
        <is>
          <t>Det</t>
        </is>
      </c>
      <c r="I228" s="13" t="inlineStr">
        <is>
          <t>Automated</t>
        </is>
      </c>
      <c r="J228" s="13" t="inlineStr">
        <is>
          <t>Per covenant cadence (monthly/quarterly)</t>
        </is>
      </c>
      <c r="K228" s="12" t="inlineStr">
        <is>
          <t>Treasury / Financial Controller</t>
        </is>
      </c>
      <c r="L228" s="13" t="inlineStr">
        <is>
          <t>P16</t>
        </is>
      </c>
      <c r="M22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8" s="12" t="inlineStr">
        <is>
          <t>Inspect the covenant definition (metric/operator/threshold), the pass/breach evaluation, the persisted debt_covenant_tests row with the breached flag, and the breach worklist.</t>
        </is>
      </c>
      <c r="O228" s="12" t="inlineStr">
        <is>
          <t>TC-TRE-02-01: define a DSCR ≥ 1.25 covenant; a test at 1.40 passes (not breached); a test at 1.10 breaches and is persisted; the breach worklist surfaces the outstanding DSCR breach; a sibling tenant never sees it (RLS) (re-performed by the treasury-debt harness).</t>
        </is>
      </c>
      <c r="P228" s="12" t="inlineStr">
        <is>
          <t>debt_covenants register + debt_covenant_tests (breached readings) + the covenant-breach worklist</t>
        </is>
      </c>
      <c r="Q228" s="18" t="inlineStr">
        <is>
          <t>Implemented</t>
        </is>
      </c>
    </row>
    <row r="229">
      <c r="A229" s="15" t="inlineStr">
        <is>
          <t>TRE-03</t>
        </is>
      </c>
      <c r="B229" s="16" t="inlineStr">
        <is>
          <t>Cash &amp; Treasury</t>
        </is>
      </c>
      <c r="C229" s="17" t="inlineStr">
        <is>
          <t>Application</t>
        </is>
      </c>
      <c r="D229" s="16" t="inlineStr">
        <is>
          <t>Investments — Amortized Cost (1350); Investments — FVOCI (1360); Investments — FVTPL (1370); Allowance for Investment ECL (1355); FVOCI Reserve — OCI (3500); Investment Income (4700); Fair-value Gain/Loss FVTPL (5430); Investment Impairment (5440); Bank (1010)</t>
        </is>
      </c>
      <c r="E22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9" s="16" t="inlineStr">
        <is>
          <t>Accuracy/Valuation/Completeness/Authorization/Segregation of Duties</t>
        </is>
      </c>
      <c r="G22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9" s="17" t="inlineStr">
        <is>
          <t>Prev</t>
        </is>
      </c>
      <c r="I229" s="17" t="inlineStr">
        <is>
          <t>Automated</t>
        </is>
      </c>
      <c r="J229" s="17" t="inlineStr">
        <is>
          <t>Per trade / month-end valuation</t>
        </is>
      </c>
      <c r="K229" s="16" t="inlineStr">
        <is>
          <t>Treasury / Financial Controller</t>
        </is>
      </c>
      <c r="L229" s="17" t="inlineStr">
        <is>
          <t>P10</t>
        </is>
      </c>
      <c r="M22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9" s="16" t="inlineStr">
        <is>
          <t>Investment &amp; securities register (holding PendingApproval→Approved, classification, MTM/ECL valuation ledger); the INVEST-BUY/MTM/ACCR/DIV/ECL JEs; the maker-checker market-price register; the portfolio roll-up</t>
        </is>
      </c>
      <c r="Q229" s="18" t="inlineStr">
        <is>
          <t>Implemented</t>
        </is>
      </c>
    </row>
    <row r="230">
      <c r="A230" s="11" t="inlineStr">
        <is>
          <t>TRE-04</t>
        </is>
      </c>
      <c r="B230" s="12" t="inlineStr">
        <is>
          <t>Cash &amp; Treasury</t>
        </is>
      </c>
      <c r="C230" s="13" t="inlineStr">
        <is>
          <t>Application</t>
        </is>
      </c>
      <c r="D230" s="12" t="inlineStr">
        <is>
          <t>Derivative Asset (1380); Derivative Liability (2460); Cash-Flow Hedge Reserve — OCI (3550); Hedge Ineffectiveness / FV-hedge P&amp;L (5450); the hedged-item carrying account (e.g. Inventory 1200) and its reclassification revenue/P&amp;L line (e.g. 4000)</t>
        </is>
      </c>
      <c r="E23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0" s="12" t="inlineStr">
        <is>
          <t>Accuracy/Valuation/Presentation/Disclosure/Completeness/Authorization/Segregation of Duties</t>
        </is>
      </c>
      <c r="G23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0" s="13" t="inlineStr">
        <is>
          <t>Prev</t>
        </is>
      </c>
      <c r="I230" s="13" t="inlineStr">
        <is>
          <t>Automated</t>
        </is>
      </c>
      <c r="J230" s="13" t="inlineStr">
        <is>
          <t>Per designation / month-end remeasurement / on the hedged cash flow</t>
        </is>
      </c>
      <c r="K230" s="12" t="inlineStr">
        <is>
          <t>Treasury / Financial Controller</t>
        </is>
      </c>
      <c r="L230" s="13" t="inlineStr">
        <is>
          <t>P10</t>
        </is>
      </c>
      <c r="M23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0" s="12" t="inlineStr">
        <is>
          <t>Hedge accounting register (relationship PendingApproval→Approved designation, effectiveness tests, derivative FV, OCI movement ledger); the HEDGE-MTM / HEDGE-RECLASS JEs; the Cash-Flow Hedge Reserve 3550; the FV-hedge basis adjustment</t>
        </is>
      </c>
      <c r="Q230" s="18" t="inlineStr">
        <is>
          <t>Implemented</t>
        </is>
      </c>
    </row>
    <row r="231">
      <c r="A231" s="15" t="inlineStr">
        <is>
          <t>TRE-05</t>
        </is>
      </c>
      <c r="B231" s="16" t="inlineStr">
        <is>
          <t>Cash &amp; Treasury</t>
        </is>
      </c>
      <c r="C231" s="17" t="inlineStr">
        <is>
          <t>Application</t>
        </is>
      </c>
      <c r="D231" s="16" t="inlineStr">
        <is>
          <t>Intercompany Loan Receivable (1155); Intercompany Loan Payable (2155); Investment/Interest Income (4700); Interest Expense (5900); Bank (1010); the pool header/member bank accounts (e.g. 1010/1020)</t>
        </is>
      </c>
      <c r="E23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1" s="16" t="inlineStr">
        <is>
          <t>Accuracy/Valuation/Completeness/Authorization/Segregation of Duties</t>
        </is>
      </c>
      <c r="G23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1" s="17" t="inlineStr">
        <is>
          <t>Prev</t>
        </is>
      </c>
      <c r="I231" s="17" t="inlineStr">
        <is>
          <t>Automated</t>
        </is>
      </c>
      <c r="J231" s="17" t="inlineStr">
        <is>
          <t>Per loan / month-end accrual / on consolidation</t>
        </is>
      </c>
      <c r="K231" s="16" t="inlineStr">
        <is>
          <t>Treasury / Financial Controller</t>
        </is>
      </c>
      <c r="L231" s="17" t="inlineStr">
        <is>
          <t>P10</t>
        </is>
      </c>
      <c r="M23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1" s="18" t="inlineStr">
        <is>
          <t>Implemented</t>
        </is>
      </c>
    </row>
    <row r="232">
      <c r="A232" s="11" t="inlineStr">
        <is>
          <t>GOV-01</t>
        </is>
      </c>
      <c r="B232" s="12" t="inlineStr">
        <is>
          <t>Monitoring</t>
        </is>
      </c>
      <c r="C232" s="13" t="inlineStr">
        <is>
          <t>Application</t>
        </is>
      </c>
      <c r="D232" s="12" t="inlineStr">
        <is>
          <t>All</t>
        </is>
      </c>
      <c r="E232" s="12" t="inlineStr">
        <is>
          <t>A maker-checker approval sits un-actioned and is forgotten — a transaction stalls before it is effective, or (worse) a control is quietly bypassed and no one notices an item never got its independent review.</t>
        </is>
      </c>
      <c r="F232" s="12" t="inlineStr">
        <is>
          <t>Authorization/Completeness</t>
        </is>
      </c>
      <c r="G23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2" s="13" t="inlineStr">
        <is>
          <t>Det</t>
        </is>
      </c>
      <c r="I232" s="13" t="inlineStr">
        <is>
          <t>Automated</t>
        </is>
      </c>
      <c r="J232" s="13" t="inlineStr">
        <is>
          <t>Continuous / pre-close</t>
        </is>
      </c>
      <c r="K232" s="12" t="inlineStr">
        <is>
          <t>Controller / CFO</t>
        </is>
      </c>
      <c r="L232" s="13" t="inlineStr">
        <is>
          <t>P16</t>
        </is>
      </c>
      <c r="M23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2" s="12" t="inlineStr">
        <is>
          <t>Inspect the aggregation across all pending sources + the age/overdue roll-up.</t>
        </is>
      </c>
      <c r="O232" s="12" t="inlineStr">
        <is>
          <t>Re-perform: create a pending item (e.g. a Draft JE) and confirm it appears in the worklist with its control ID, amount and age; the overdue count flags items past the threshold (re-performed by the harness).</t>
        </is>
      </c>
      <c r="P232" s="12" t="inlineStr">
        <is>
          <t>Pending-approvals worklist</t>
        </is>
      </c>
      <c r="Q232" s="18" t="inlineStr">
        <is>
          <t>Implemented</t>
        </is>
      </c>
    </row>
    <row r="233">
      <c r="A233" s="15" t="inlineStr">
        <is>
          <t>GOV-02</t>
        </is>
      </c>
      <c r="B233" s="16" t="inlineStr">
        <is>
          <t>Monitoring</t>
        </is>
      </c>
      <c r="C233" s="17" t="inlineStr">
        <is>
          <t>Application</t>
        </is>
      </c>
      <c r="D233" s="16" t="inlineStr">
        <is>
          <t>All</t>
        </is>
      </c>
      <c r="E23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3" s="16" t="inlineStr">
        <is>
          <t>Monitoring/Completeness</t>
        </is>
      </c>
      <c r="G23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3" s="17" t="inlineStr">
        <is>
          <t>Det</t>
        </is>
      </c>
      <c r="I233" s="17" t="inlineStr">
        <is>
          <t>Automated</t>
        </is>
      </c>
      <c r="J233" s="17" t="inlineStr">
        <is>
          <t>Continuous / per monitoring cycle</t>
        </is>
      </c>
      <c r="K233" s="16" t="inlineStr">
        <is>
          <t>Controller / Internal Audit</t>
        </is>
      </c>
      <c r="L233" s="17" t="inlineStr">
        <is>
          <t>P16</t>
        </is>
      </c>
      <c r="M23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3" s="16" t="inlineStr">
        <is>
          <t>Inspect the six detectors + fingerprint idempotency, the disposition lifecycle (owner/due/root-cause + closing stamp), the KCI roll-up (overdue + MTTR) and the RLS scoping.</t>
        </is>
      </c>
      <c r="O23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3" s="16" t="inlineStr">
        <is>
          <t>Control-exception disposition register + KCI roll-up</t>
        </is>
      </c>
      <c r="Q233" s="18" t="inlineStr">
        <is>
          <t>Implemented</t>
        </is>
      </c>
    </row>
    <row r="234">
      <c r="A234" s="11" t="inlineStr">
        <is>
          <t>ITGC-MON-01</t>
        </is>
      </c>
      <c r="B234" s="12" t="inlineStr">
        <is>
          <t>Monitoring</t>
        </is>
      </c>
      <c r="C234" s="13" t="inlineStr">
        <is>
          <t>ITGC</t>
        </is>
      </c>
      <c r="D234" s="12" t="inlineStr">
        <is>
          <t>All</t>
        </is>
      </c>
      <c r="E23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4" s="12" t="inlineStr">
        <is>
          <t>Completeness/Accuracy</t>
        </is>
      </c>
      <c r="G23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4" s="13" t="inlineStr">
        <is>
          <t>Det</t>
        </is>
      </c>
      <c r="I234" s="13" t="inlineStr">
        <is>
          <t>Automated</t>
        </is>
      </c>
      <c r="J234" s="13" t="inlineStr">
        <is>
          <t>Continuous / on-demand</t>
        </is>
      </c>
      <c r="K234" s="12" t="inlineStr">
        <is>
          <t>Controller / SOX PMO</t>
        </is>
      </c>
      <c r="L234" s="13" t="inlineStr">
        <is>
          <t>P16</t>
        </is>
      </c>
      <c r="M23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4" s="12" t="inlineStr">
        <is>
          <t>Control catalogue + recorded ToE test-runs + linked CCM findings / audit evidence</t>
        </is>
      </c>
      <c r="Q234" s="18" t="inlineStr">
        <is>
          <t>Implemented</t>
        </is>
      </c>
    </row>
    <row r="235">
      <c r="A235" s="15" t="inlineStr">
        <is>
          <t>TAX-01</t>
        </is>
      </c>
      <c r="B235" s="16" t="inlineStr">
        <is>
          <t>Tax</t>
        </is>
      </c>
      <c r="C235" s="17" t="inlineStr">
        <is>
          <t>Application</t>
        </is>
      </c>
      <c r="D235" s="16" t="inlineStr">
        <is>
          <t>Tax (VAT)</t>
        </is>
      </c>
      <c r="E235" s="16" t="inlineStr">
        <is>
          <t>VAT computed incorrectly → filing/penalty risk.</t>
        </is>
      </c>
      <c r="F235" s="16" t="inlineStr">
        <is>
          <t>Accuracy</t>
        </is>
      </c>
      <c r="G235" s="16" t="inlineStr">
        <is>
          <t>VAT via pluggable provider (TH 7%); unit-tested; no hard-coded rate.</t>
        </is>
      </c>
      <c r="H235" s="17" t="inlineStr">
        <is>
          <t>Auto</t>
        </is>
      </c>
      <c r="I235" s="17" t="inlineStr">
        <is>
          <t>Automated</t>
        </is>
      </c>
      <c r="J235" s="17" t="inlineStr">
        <is>
          <t>Per txn</t>
        </is>
      </c>
      <c r="K235" s="16" t="inlineStr">
        <is>
          <t>Tax / Controller</t>
        </is>
      </c>
      <c r="L235" s="17" t="inlineStr">
        <is>
          <t>P10</t>
        </is>
      </c>
      <c r="M235" s="16" t="inlineStr">
        <is>
          <t>tax/tax-providers.ts; tax.service.ts; test/unit.test.ts</t>
        </is>
      </c>
      <c r="N235" s="16" t="inlineStr">
        <is>
          <t>Inspect rate provider + tests.</t>
        </is>
      </c>
      <c r="O235" s="16" t="inlineStr">
        <is>
          <t>Re-perform VAT on sample; tie to return.</t>
        </is>
      </c>
      <c r="P235" s="16" t="inlineStr">
        <is>
          <t>VAT tests</t>
        </is>
      </c>
      <c r="Q235" s="18" t="inlineStr">
        <is>
          <t>Implemented</t>
        </is>
      </c>
    </row>
    <row r="236">
      <c r="A236" s="11" t="inlineStr">
        <is>
          <t>TAX-02</t>
        </is>
      </c>
      <c r="B236" s="12" t="inlineStr">
        <is>
          <t>Tax</t>
        </is>
      </c>
      <c r="C236" s="13" t="inlineStr">
        <is>
          <t>Application</t>
        </is>
      </c>
      <c r="D236" s="12" t="inlineStr">
        <is>
          <t>Tax; Revenue</t>
        </is>
      </c>
      <c r="E236" s="12" t="inlineStr">
        <is>
          <t>Non-compliant e-Tax invoice / not transmitted to ETDA, or a failed SP submission silently lost.</t>
        </is>
      </c>
      <c r="F236" s="12" t="inlineStr">
        <is>
          <t>Accuracy/Compliance</t>
        </is>
      </c>
      <c r="G23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6" s="13" t="inlineStr">
        <is>
          <t>Auto</t>
        </is>
      </c>
      <c r="I236" s="13" t="inlineStr">
        <is>
          <t>Automated</t>
        </is>
      </c>
      <c r="J236" s="13" t="inlineStr">
        <is>
          <t>Per invoice</t>
        </is>
      </c>
      <c r="K236" s="12" t="inlineStr">
        <is>
          <t>Tax</t>
        </is>
      </c>
      <c r="L236" s="13" t="inlineStr">
        <is>
          <t>P10/P13</t>
        </is>
      </c>
      <c r="M236" s="12" t="inlineStr">
        <is>
          <t>tax-docs/etax-xml.ts; etax-email.service.ts; pos-fiscal/etax.service.ts + etax-providers.ts (submit/retryFailed, tested); tax-docs/pdfa3.ts</t>
        </is>
      </c>
      <c r="N236" s="12" t="inlineStr">
        <is>
          <t>Inspect XML schema + email composer + submission log.</t>
        </is>
      </c>
      <c r="O236" s="12" t="inlineStr">
        <is>
          <t>Sample invoices: valid XML, correct CC/escaping; induce a submission failure and confirm it is retryable, not lost.</t>
        </is>
      </c>
      <c r="P236" s="12" t="inlineStr">
        <is>
          <t>e-Tax samples; submission log</t>
        </is>
      </c>
      <c r="Q236" s="18" t="inlineStr">
        <is>
          <t>Implemented</t>
        </is>
      </c>
    </row>
    <row r="237">
      <c r="A237" s="15" t="inlineStr">
        <is>
          <t>TAX-03</t>
        </is>
      </c>
      <c r="B237" s="16" t="inlineStr">
        <is>
          <t>Tax</t>
        </is>
      </c>
      <c r="C237" s="17" t="inlineStr">
        <is>
          <t>Application</t>
        </is>
      </c>
      <c r="D237" s="16" t="inlineStr">
        <is>
          <t>Tax (WHT)</t>
        </is>
      </c>
      <c r="E237" s="16" t="inlineStr">
        <is>
          <t>Withholding tax mis-computed, not withheld at payment, or not tied to the GL.</t>
        </is>
      </c>
      <c r="F237" s="16" t="inlineStr">
        <is>
          <t>Accuracy</t>
        </is>
      </c>
      <c r="G23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7" s="17" t="inlineStr">
        <is>
          <t>Auto</t>
        </is>
      </c>
      <c r="I237" s="17" t="inlineStr">
        <is>
          <t>Automated</t>
        </is>
      </c>
      <c r="J237" s="17" t="inlineStr">
        <is>
          <t>Per payment / monthly</t>
        </is>
      </c>
      <c r="K237" s="16" t="inlineStr">
        <is>
          <t>Tax</t>
        </is>
      </c>
      <c r="L237" s="17" t="inlineStr">
        <is>
          <t>P10</t>
        </is>
      </c>
      <c r="M23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7" s="16" t="inlineStr">
        <is>
          <t>Inspect the WHT-at-payment posting + the ภ.ง.ด.→GL tie-out + the scheduled auto-cert batch.</t>
        </is>
      </c>
      <c r="O23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7" s="16" t="inlineStr">
        <is>
          <t>WHT GL postings + ภ.ง.ด.→GL tie-out + scheduled 50-ทวิ auto-cert ToE</t>
        </is>
      </c>
      <c r="Q237" s="18" t="inlineStr">
        <is>
          <t>Implemented</t>
        </is>
      </c>
    </row>
    <row r="238">
      <c r="A238" s="11" t="inlineStr">
        <is>
          <t>TAX-04</t>
        </is>
      </c>
      <c r="B238" s="12" t="inlineStr">
        <is>
          <t>Tax</t>
        </is>
      </c>
      <c r="C238" s="13" t="inlineStr">
        <is>
          <t>Application</t>
        </is>
      </c>
      <c r="D238" s="12" t="inlineStr">
        <is>
          <t>Tax (VAT); Tax Payable (2100)</t>
        </is>
      </c>
      <c r="E238" s="12" t="inlineStr">
        <is>
          <t>Output/input VAT on the filed ภ.พ.30 return does not agree to the GL — VAT liability mis-stated, a filing/penalty exposure, or a posting omission goes undetected before submission.</t>
        </is>
      </c>
      <c r="F238" s="12" t="inlineStr">
        <is>
          <t>Completeness/Accuracy</t>
        </is>
      </c>
      <c r="G23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8" s="13" t="inlineStr">
        <is>
          <t>Det</t>
        </is>
      </c>
      <c r="I238" s="13" t="inlineStr">
        <is>
          <t>Automated</t>
        </is>
      </c>
      <c r="J238" s="13" t="inlineStr">
        <is>
          <t>Monthly / pre-filing</t>
        </is>
      </c>
      <c r="K238" s="12" t="inlineStr">
        <is>
          <t>Tax / FinancialController</t>
        </is>
      </c>
      <c r="L238" s="13" t="inlineStr">
        <is>
          <t>P10/P16</t>
        </is>
      </c>
      <c r="M238" s="12" t="inlineStr">
        <is>
          <t>tax-reports.service.ts pp30 (outputVat/inputVat + 2100 net-movement tie); tax-reports.controller.ts (GET pp30, pp30/export, exec); tax-reports-pdf.ts; dine-in.service.ts/returns.service.ts/finance.service.ts post 2100 on sale/return/AP; /tax/reports UI; cutover/taxdocs.ts (ToE)</t>
        </is>
      </c>
      <c r="N238" s="12" t="inlineStr">
        <is>
          <t>Inspect the pp30 build + the 2100 net-movement query + the tie flag + the filing deadline.</t>
        </is>
      </c>
      <c r="O23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8" s="12" t="inlineStr">
        <is>
          <t>ภ.พ.30 return + GL-2100 reconciliation tie</t>
        </is>
      </c>
      <c r="Q238" s="18" t="inlineStr">
        <is>
          <t>Implemented</t>
        </is>
      </c>
    </row>
    <row r="239">
      <c r="A239" s="15" t="inlineStr">
        <is>
          <t>TAX-05</t>
        </is>
      </c>
      <c r="B239" s="16" t="inlineStr">
        <is>
          <t>Tax</t>
        </is>
      </c>
      <c r="C239" s="17" t="inlineStr">
        <is>
          <t>Application</t>
        </is>
      </c>
      <c r="D239" s="16" t="inlineStr">
        <is>
          <t>Tax (VAT/WHT)</t>
        </is>
      </c>
      <c r="E23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9" s="16" t="inlineStr">
        <is>
          <t>Completeness/Accuracy/Cutoff</t>
        </is>
      </c>
      <c r="G23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9" s="17" t="inlineStr">
        <is>
          <t>Det/Prev</t>
        </is>
      </c>
      <c r="I239" s="17" t="inlineStr">
        <is>
          <t>Auto+Manual</t>
        </is>
      </c>
      <c r="J239" s="17" t="inlineStr">
        <is>
          <t>Monthly / per filing</t>
        </is>
      </c>
      <c r="K239" s="16" t="inlineStr">
        <is>
          <t>Tax / FinancialController</t>
        </is>
      </c>
      <c r="L239" s="17" t="inlineStr">
        <is>
          <t>P10/P16</t>
        </is>
      </c>
      <c r="M23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9" s="16" t="inlineStr">
        <is>
          <t>Inspect the filing snapshot + the DRAFT→SUBMITTED→ACCEPTED lifecycle + the mandatory submission reference + the no-overwrite-of-a-filed-return rule + the deadline calendar.</t>
        </is>
      </c>
      <c r="O23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9" s="16" t="inlineStr">
        <is>
          <t>thai_tax_filings register + remittance calendar</t>
        </is>
      </c>
      <c r="Q239" s="18" t="inlineStr">
        <is>
          <t>Implemented</t>
        </is>
      </c>
    </row>
    <row r="240">
      <c r="A240" s="11" t="inlineStr">
        <is>
          <t>TAX-06</t>
        </is>
      </c>
      <c r="B240" s="12" t="inlineStr">
        <is>
          <t>Tax</t>
        </is>
      </c>
      <c r="C240" s="13" t="inlineStr">
        <is>
          <t>Application</t>
        </is>
      </c>
      <c r="D240" s="12" t="inlineStr">
        <is>
          <t>Deferred Tax Asset (1700); Deferred Tax Liability (2700); Deferred Tax Expense (5950)</t>
        </is>
      </c>
      <c r="E24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0" s="12" t="inlineStr">
        <is>
          <t>Accuracy/Valuation/Completeness/Authorization/Segregation of Duties</t>
        </is>
      </c>
      <c r="G24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0" s="13" t="inlineStr">
        <is>
          <t>Prev</t>
        </is>
      </c>
      <c r="I240" s="13" t="inlineStr">
        <is>
          <t>Automated</t>
        </is>
      </c>
      <c r="J240" s="13" t="inlineStr">
        <is>
          <t>Quarterly / year-end</t>
        </is>
      </c>
      <c r="K240" s="12" t="inlineStr">
        <is>
          <t>Tax / Financial Controller</t>
        </is>
      </c>
      <c r="L240" s="13" t="inlineStr">
        <is>
          <t>P10</t>
        </is>
      </c>
      <c r="M24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0" s="12" t="inlineStr">
        <is>
          <t>Inspect the temp-difference gathering (allowance×rate DTA + accelerated-dep DTL with the documented tax-dep simplification), the delta-vs-prior-run, the SELF_POST maker-checker, and the 1700/5950 posting through the period-lock gate.</t>
        </is>
      </c>
      <c r="O24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0" s="12" t="inlineStr">
        <is>
          <t>deferred_tax_runs register (Open→Posted, temp-difference schedule, runner/poster); the DEFTAX JE to 1700/5950; quarterly/year-end deferred-tax sign-off</t>
        </is>
      </c>
      <c r="Q240" s="18" t="inlineStr">
        <is>
          <t>Implemented</t>
        </is>
      </c>
    </row>
    <row r="241">
      <c r="A241" s="15" t="inlineStr">
        <is>
          <t>TAX-12</t>
        </is>
      </c>
      <c r="B241" s="16" t="inlineStr">
        <is>
          <t>Tax</t>
        </is>
      </c>
      <c r="C241" s="17" t="inlineStr">
        <is>
          <t>Application</t>
        </is>
      </c>
      <c r="D241" s="16" t="inlineStr">
        <is>
          <t>Deferred Tax Asset (1700); Deferred Tax Expense (5950)</t>
        </is>
      </c>
      <c r="E24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1" s="16" t="inlineStr">
        <is>
          <t>Valuation/Accuracy/Completeness/Authorization/Segregation of Duties</t>
        </is>
      </c>
      <c r="G24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1" s="17" t="inlineStr">
        <is>
          <t>Prev</t>
        </is>
      </c>
      <c r="I241" s="17" t="inlineStr">
        <is>
          <t>Automated</t>
        </is>
      </c>
      <c r="J241" s="17" t="inlineStr">
        <is>
          <t>Quarterly / year-end</t>
        </is>
      </c>
      <c r="K241" s="16" t="inlineStr">
        <is>
          <t>Tax / Financial Controller</t>
        </is>
      </c>
      <c r="L241" s="17" t="inlineStr">
        <is>
          <t>P10</t>
        </is>
      </c>
      <c r="M24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1" s="16" t="inlineStr">
        <is>
          <t>dta_valuation_allowances register (Open→Posted, gross/MLTN/allowance, runner/poster); the DTAVA JE to 5950/1700; uncertain_tax_positions register (Open→Settled/Lapsed, exposure/recognized/reserve, creator/settler); quarterly/year-end deferred-tax &amp; UTP sign-off</t>
        </is>
      </c>
      <c r="Q241" s="18" t="inlineStr">
        <is>
          <t>Implemented</t>
        </is>
      </c>
    </row>
    <row r="242">
      <c r="A242" s="11" t="inlineStr">
        <is>
          <t>TAX-07</t>
        </is>
      </c>
      <c r="B242" s="12" t="inlineStr">
        <is>
          <t>Tax</t>
        </is>
      </c>
      <c r="C242" s="13" t="inlineStr">
        <is>
          <t>Application</t>
        </is>
      </c>
      <c r="D242" s="12" t="inlineStr">
        <is>
          <t>Tax (VAT); Tax Payable (2100); Revenue (4000); Accounts Receivable (1100)</t>
        </is>
      </c>
      <c r="E24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2" s="12" t="inlineStr">
        <is>
          <t>Accuracy/Completeness/Occurrence/Authorization/Segregation of Duties</t>
        </is>
      </c>
      <c r="G24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2" s="13" t="inlineStr">
        <is>
          <t>Prev</t>
        </is>
      </c>
      <c r="I242" s="13" t="inlineStr">
        <is>
          <t>Automated</t>
        </is>
      </c>
      <c r="J242" s="13" t="inlineStr">
        <is>
          <t>Per note</t>
        </is>
      </c>
      <c r="K242" s="12" t="inlineStr">
        <is>
          <t>Tax / Financial Controller</t>
        </is>
      </c>
      <c r="L242" s="13" t="inlineStr">
        <is>
          <t>P10</t>
        </is>
      </c>
      <c r="M24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2" s="12" t="inlineStr">
        <is>
          <t>Inspect the reference/reason/credit-cap validation, the PendingApproval + Draft-GL issuance, the approver≠issuer SoD, and the signed output-VAT aggregation into the issue period.</t>
        </is>
      </c>
      <c r="O24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2" s="12" t="inlineStr">
        <is>
          <t>ใบลดหนี้/ใบเพิ่มหนี้ register (PendingApproval→Issued/Voided, original ref + reason, issuer/approver); the CN/DN JE to 4000/2100/1100; the signed output-VAT report row</t>
        </is>
      </c>
      <c r="Q242" s="18" t="inlineStr">
        <is>
          <t>Implemented</t>
        </is>
      </c>
    </row>
    <row r="243">
      <c r="A243" s="15" t="inlineStr">
        <is>
          <t>TAX-08</t>
        </is>
      </c>
      <c r="B243" s="16" t="inlineStr">
        <is>
          <t>Tax</t>
        </is>
      </c>
      <c r="C243" s="17" t="inlineStr">
        <is>
          <t>Application</t>
        </is>
      </c>
      <c r="D243" s="16" t="inlineStr">
        <is>
          <t>Input VAT (1300); PP36 VAT Payable (2120); Expense (5100)</t>
        </is>
      </c>
      <c r="E24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3" s="16" t="inlineStr">
        <is>
          <t>Completeness/Accuracy/Compliance</t>
        </is>
      </c>
      <c r="G24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3" s="17" t="inlineStr">
        <is>
          <t>Det</t>
        </is>
      </c>
      <c r="I243" s="17" t="inlineStr">
        <is>
          <t>Automated</t>
        </is>
      </c>
      <c r="J243" s="17" t="inlineStr">
        <is>
          <t>Per bill / monthly</t>
        </is>
      </c>
      <c r="K243" s="16" t="inlineStr">
        <is>
          <t>Tax</t>
        </is>
      </c>
      <c r="L243" s="17" t="inlineStr">
        <is>
          <t>P10</t>
        </is>
      </c>
      <c r="M24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3" s="16" t="inlineStr">
        <is>
          <t>Inspect the reverse_charge net booking + the Dr 1300 / Cr 2120 self-assessment leg, the ภ.พ.36 report + GL 2120 tie, and the filing/remittance-calendar wiring.</t>
        </is>
      </c>
      <c r="O24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3" s="16" t="inlineStr">
        <is>
          <t>ภ.พ.36 report + GL 2120 reconciliation tie; the self-assessment JE (1300/2120); the ภ.พ.36 filing register row + remittance calendar</t>
        </is>
      </c>
      <c r="Q243" s="18" t="inlineStr">
        <is>
          <t>Implemented</t>
        </is>
      </c>
    </row>
    <row r="244">
      <c r="A244" s="11" t="inlineStr">
        <is>
          <t>TAX-09</t>
        </is>
      </c>
      <c r="B244" s="12" t="inlineStr">
        <is>
          <t>Tax</t>
        </is>
      </c>
      <c r="C244" s="13" t="inlineStr">
        <is>
          <t>Application</t>
        </is>
      </c>
      <c r="D244" s="12" t="inlineStr">
        <is>
          <t>SBT Payable (2130); SBT Expense (5840); Project Revenue (4200)</t>
        </is>
      </c>
      <c r="E24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4" s="12" t="inlineStr">
        <is>
          <t>Completeness/Accuracy/Compliance</t>
        </is>
      </c>
      <c r="G24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4" s="13" t="inlineStr">
        <is>
          <t>Det</t>
        </is>
      </c>
      <c r="I244" s="13" t="inlineStr">
        <is>
          <t>Automated</t>
        </is>
      </c>
      <c r="J244" s="13" t="inlineStr">
        <is>
          <t>Per transfer / monthly</t>
        </is>
      </c>
      <c r="K244" s="12" t="inlineStr">
        <is>
          <t>Tax / Financial Controller</t>
        </is>
      </c>
      <c r="L244" s="13" t="inlineStr">
        <is>
          <t>P10</t>
        </is>
      </c>
      <c r="M24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4" s="12" t="inlineStr">
        <is>
          <t>Inspect the per-project opt-in rate, the atomic Dr 5840 / Cr 2130 accrual inside the transfer JE, the ภ.ธ.40 report + GL 2130 tie, and the filing/remittance-calendar wiring.</t>
        </is>
      </c>
      <c r="O24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4" s="12" t="inlineStr">
        <is>
          <t>ภ.ธ.40 report + GL 2130 reconciliation tie; the transfer JE SBT lines; the ภ.ธ.40 filing register row + remittance calendar</t>
        </is>
      </c>
      <c r="Q244" s="18" t="inlineStr">
        <is>
          <t>Implemented</t>
        </is>
      </c>
    </row>
    <row r="245">
      <c r="A245" s="15" t="inlineStr">
        <is>
          <t>TAX-10</t>
        </is>
      </c>
      <c r="B245" s="16" t="inlineStr">
        <is>
          <t>Tax</t>
        </is>
      </c>
      <c r="C245" s="17" t="inlineStr">
        <is>
          <t>Application</t>
        </is>
      </c>
      <c r="D245" s="16" t="inlineStr">
        <is>
          <t>Tax (VAT); Output VAT (2100); Revenue (4000)</t>
        </is>
      </c>
      <c r="E24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5" s="16" t="inlineStr">
        <is>
          <t>Accuracy/Occurrence/Completeness/Compliance</t>
        </is>
      </c>
      <c r="G24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5" s="17" t="inlineStr">
        <is>
          <t>Prev</t>
        </is>
      </c>
      <c r="I245" s="17" t="inlineStr">
        <is>
          <t>Automated</t>
        </is>
      </c>
      <c r="J245" s="17" t="inlineStr">
        <is>
          <t>Per conversion</t>
        </is>
      </c>
      <c r="K245" s="16" t="inlineStr">
        <is>
          <t>Store Manager / Tax</t>
        </is>
      </c>
      <c r="L245" s="17" t="inlineStr">
        <is>
          <t>P10</t>
        </is>
      </c>
      <c r="M245" s="16" t="inlineStr">
        <is>
          <t>tax/documents/tax-invoice.service.ts convertAbbreviatedToFull; tax-docs.controller.ts POST abbreviated/:docNo/convert-full; dto.ts ConvertAbbBody; schema/tax-docs.ts uq_tiv_converted_from + migration 0291; web /tax/invoices conversion card; cutover/taxdocs.ts (TAX-10 ToE)</t>
        </is>
      </c>
      <c r="N245" s="16" t="inlineStr">
        <is>
          <t>Inspect the buyer Tax-ID validation, the verbatim amount copy, the Replaced-status single-count, the idempotency backstop index and the audit metadata.</t>
        </is>
      </c>
      <c r="O24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5" s="16" t="inlineStr">
        <is>
          <t>Converted-invoice pair (ABB Replaced + linked full TIV); ภ.พ.30 single-count assertion; audit_log tax_abb_convert row; taxdocs harness ToE</t>
        </is>
      </c>
      <c r="Q245" s="18" t="inlineStr">
        <is>
          <t>Implemented</t>
        </is>
      </c>
    </row>
    <row r="246">
      <c r="A246" s="11" t="inlineStr">
        <is>
          <t>TAX-11</t>
        </is>
      </c>
      <c r="B246" s="12" t="inlineStr">
        <is>
          <t>Tax</t>
        </is>
      </c>
      <c r="C246" s="13" t="inlineStr">
        <is>
          <t>Application</t>
        </is>
      </c>
      <c r="D246" s="12" t="inlineStr">
        <is>
          <t>Corporate Income Tax Expense — current (5960); CIT Payable (2110); Deferred Tax (1700/2700/5950)</t>
        </is>
      </c>
      <c r="E24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6" s="12" t="inlineStr">
        <is>
          <t>Accuracy/Valuation/Completeness/Authorization/Segregation of Duties</t>
        </is>
      </c>
      <c r="G24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6" s="13" t="inlineStr">
        <is>
          <t>Prev</t>
        </is>
      </c>
      <c r="I246" s="13" t="inlineStr">
        <is>
          <t>Automated</t>
        </is>
      </c>
      <c r="J246" s="13" t="inlineStr">
        <is>
          <t>Quarterly / year-end</t>
        </is>
      </c>
      <c r="K246" s="12" t="inlineStr">
        <is>
          <t>Tax / Financial Controller</t>
        </is>
      </c>
      <c r="L246" s="13" t="inlineStr">
        <is>
          <t>P10</t>
        </is>
      </c>
      <c r="M24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6" s="12" t="inlineStr">
        <is>
          <t>income_tax_provisions register (Open→Posted, taxable-income bridge + ETR schedule, runner/poster, deferred-tax link); the CITPROV JE to 5960/2110; quarterly/year-end income-tax provision + ETR sign-off</t>
        </is>
      </c>
      <c r="Q246" s="18" t="inlineStr">
        <is>
          <t>Implemented</t>
        </is>
      </c>
    </row>
    <row r="247">
      <c r="A247" s="15" t="inlineStr">
        <is>
          <t>PAY-01</t>
        </is>
      </c>
      <c r="B247" s="16" t="inlineStr">
        <is>
          <t>Payroll</t>
        </is>
      </c>
      <c r="C247" s="17" t="inlineStr">
        <is>
          <t>Application</t>
        </is>
      </c>
      <c r="D247" s="16" t="inlineStr">
        <is>
          <t>Payroll expense/liability</t>
        </is>
      </c>
      <c r="E247" s="16" t="inlineStr">
        <is>
          <t>Payroll, SSO and PIT mis-computed.</t>
        </is>
      </c>
      <c r="F247" s="16" t="inlineStr">
        <is>
          <t>Accuracy</t>
        </is>
      </c>
      <c r="G247" s="16" t="inlineStr">
        <is>
          <t>Payroll engine — SSO 5% (cap 750), progressive PIT, payslip net; unit-tested.</t>
        </is>
      </c>
      <c r="H247" s="17" t="inlineStr">
        <is>
          <t>Auto</t>
        </is>
      </c>
      <c r="I247" s="17" t="inlineStr">
        <is>
          <t>Automated</t>
        </is>
      </c>
      <c r="J247" s="17" t="inlineStr">
        <is>
          <t>Per run</t>
        </is>
      </c>
      <c r="K247" s="16" t="inlineStr">
        <is>
          <t>HR / Payroll</t>
        </is>
      </c>
      <c r="L247" s="17" t="inlineStr">
        <is>
          <t>P10</t>
        </is>
      </c>
      <c r="M247" s="16" t="inlineStr">
        <is>
          <t>payroll/payroll-calc.ts; test/unit.test.ts</t>
        </is>
      </c>
      <c r="N247" s="16" t="inlineStr">
        <is>
          <t>Inspect calc + tests.</t>
        </is>
      </c>
      <c r="O247" s="16" t="inlineStr">
        <is>
          <t>Re-perform sample payslips.</t>
        </is>
      </c>
      <c r="P247" s="16" t="inlineStr">
        <is>
          <t>Payslip tests</t>
        </is>
      </c>
      <c r="Q247" s="18" t="inlineStr">
        <is>
          <t>Implemented</t>
        </is>
      </c>
    </row>
    <row r="248">
      <c r="A248" s="11" t="inlineStr">
        <is>
          <t>PAY-02</t>
        </is>
      </c>
      <c r="B248" s="12" t="inlineStr">
        <is>
          <t>Payroll</t>
        </is>
      </c>
      <c r="C248" s="13" t="inlineStr">
        <is>
          <t>Application</t>
        </is>
      </c>
      <c r="D248" s="12" t="inlineStr">
        <is>
          <t>Payroll liability</t>
        </is>
      </c>
      <c r="E248" s="12" t="inlineStr">
        <is>
          <t>Statutory withholdings (SSO/WHT/PF) mis-stated or not remitted, so the liability owed to the authorities diverges from the books.</t>
        </is>
      </c>
      <c r="F248" s="12" t="inlineStr">
        <is>
          <t>Accuracy/Compliance</t>
        </is>
      </c>
      <c r="G24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8" s="13" t="inlineStr">
        <is>
          <t>Det</t>
        </is>
      </c>
      <c r="I248" s="13" t="inlineStr">
        <is>
          <t>Automated</t>
        </is>
      </c>
      <c r="J248" s="13" t="inlineStr">
        <is>
          <t>Per run / monthly</t>
        </is>
      </c>
      <c r="K248" s="12" t="inlineStr">
        <is>
          <t>HR / Payroll / Treasury</t>
        </is>
      </c>
      <c r="L248" s="13" t="inlineStr">
        <is>
          <t>P10</t>
        </is>
      </c>
      <c r="M248" s="12" t="inlineStr">
        <is>
          <t>payroll/payroll.service.ts liabilities/remitLiability</t>
        </is>
      </c>
      <c r="N248" s="12" t="inlineStr">
        <is>
          <t>Inspect the schedule + the accrued/remitted/outstanding tie-out and the reconciled flag.</t>
        </is>
      </c>
      <c r="O248" s="12" t="inlineStr">
        <is>
          <t>Re-perform: run a payroll, confirm the SSO/WHT outstanding equals the payrun accrual; remit part and confirm the outstanding falls and the TB stays balanced; attempt an over-remit (REMIT_EXCEEDS_OUTSTANDING).</t>
        </is>
      </c>
      <c r="P248" s="12" t="inlineStr">
        <is>
          <t>Liability schedule + remittance JEs tied to filings</t>
        </is>
      </c>
      <c r="Q248" s="18" t="inlineStr">
        <is>
          <t>Implemented</t>
        </is>
      </c>
    </row>
    <row r="249">
      <c r="A249" s="15" t="inlineStr">
        <is>
          <t>PAY-03</t>
        </is>
      </c>
      <c r="B249" s="16" t="inlineStr">
        <is>
          <t>Payroll</t>
        </is>
      </c>
      <c r="C249" s="17" t="inlineStr">
        <is>
          <t>Application</t>
        </is>
      </c>
      <c r="D249" s="16" t="inlineStr">
        <is>
          <t>Payroll expense/liability; Cash</t>
        </is>
      </c>
      <c r="E249" s="16" t="inlineStr">
        <is>
          <t>Payroll run posted to the GL without independent review — the preparer both computes and posts their own payroll (ghost employees, inflated rate/hours).</t>
        </is>
      </c>
      <c r="F249" s="16" t="inlineStr">
        <is>
          <t>Authorization</t>
        </is>
      </c>
      <c r="G24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9" s="17" t="inlineStr">
        <is>
          <t>Prev</t>
        </is>
      </c>
      <c r="I249" s="17" t="inlineStr">
        <is>
          <t>Automated</t>
        </is>
      </c>
      <c r="J249" s="17" t="inlineStr">
        <is>
          <t>Per run</t>
        </is>
      </c>
      <c r="K249" s="16" t="inlineStr">
        <is>
          <t>HR / Payroll; Controller</t>
        </is>
      </c>
      <c r="L249" s="17" t="inlineStr">
        <is>
          <t>P10</t>
        </is>
      </c>
      <c r="M249" s="16" t="inlineStr">
        <is>
          <t>payroll/payroll.service.ts approvePayroll/rejectPayroll; migration 0133</t>
        </is>
      </c>
      <c r="N249" s="16" t="inlineStr">
        <is>
          <t>Inspect Draft→approve flow + the approver≠preparer check.</t>
        </is>
      </c>
      <c r="O249" s="16" t="inlineStr">
        <is>
          <t>Re-perform: run as A, attempt self-approve (SOD_VIOLATION), approve as B; confirm the JE hits balances only after approval.</t>
        </is>
      </c>
      <c r="P249" s="16" t="inlineStr">
        <is>
          <t>Approval log + SoD test</t>
        </is>
      </c>
      <c r="Q249" s="18" t="inlineStr">
        <is>
          <t>Implemented</t>
        </is>
      </c>
    </row>
    <row r="250">
      <c r="A250" s="11" t="inlineStr">
        <is>
          <t>PAY-04</t>
        </is>
      </c>
      <c r="B250" s="12" t="inlineStr">
        <is>
          <t>Payroll</t>
        </is>
      </c>
      <c r="C250" s="13" t="inlineStr">
        <is>
          <t>Application</t>
        </is>
      </c>
      <c r="D250" s="12" t="inlineStr">
        <is>
          <t>Payroll expense; Labor cost</t>
        </is>
      </c>
      <c r="E25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0" s="12" t="inlineStr">
        <is>
          <t>Accuracy/Completeness</t>
        </is>
      </c>
      <c r="G25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0" s="13" t="inlineStr">
        <is>
          <t>Det/Prev</t>
        </is>
      </c>
      <c r="I250" s="13" t="inlineStr">
        <is>
          <t>Auto+Manual</t>
        </is>
      </c>
      <c r="J250" s="13" t="inlineStr">
        <is>
          <t>Per shift / payroll cycle</t>
        </is>
      </c>
      <c r="K250" s="12" t="inlineStr">
        <is>
          <t>HR / Store Ops Mgr</t>
        </is>
      </c>
      <c r="L250" s="13" t="inlineStr">
        <is>
          <t>P10/P13</t>
        </is>
      </c>
      <c r="M25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0" s="12" t="inlineStr">
        <is>
          <t>Inspect the statutory-default overlay, the tier multipliers, the 48h cap + over_cap flag, and the labor-% threshold alert (raise/idempotent/resolve).</t>
        </is>
      </c>
      <c r="O25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0" s="12" t="inlineStr">
        <is>
          <t>labor_ot_rules + labor_alerts register; OT/labor-% test</t>
        </is>
      </c>
      <c r="Q250" s="18" t="inlineStr">
        <is>
          <t>Implemented</t>
        </is>
      </c>
    </row>
    <row r="251">
      <c r="A251" s="15" t="inlineStr">
        <is>
          <t>PAY-05</t>
        </is>
      </c>
      <c r="B251" s="16" t="inlineStr">
        <is>
          <t>Payroll</t>
        </is>
      </c>
      <c r="C251" s="17" t="inlineStr">
        <is>
          <t>Application</t>
        </is>
      </c>
      <c r="D251" s="16" t="inlineStr">
        <is>
          <t>Payroll expense; Labor hours</t>
        </is>
      </c>
      <c r="E25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1" s="16" t="inlineStr">
        <is>
          <t>Existence/Accuracy/Authorization</t>
        </is>
      </c>
      <c r="G25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1" s="17" t="inlineStr">
        <is>
          <t>Prev/Det</t>
        </is>
      </c>
      <c r="I251" s="17" t="inlineStr">
        <is>
          <t>Automated</t>
        </is>
      </c>
      <c r="J251" s="17" t="inlineStr">
        <is>
          <t>Per punch</t>
        </is>
      </c>
      <c r="K251" s="16" t="inlineStr">
        <is>
          <t>HR / Store Ops Mgr</t>
        </is>
      </c>
      <c r="L251" s="17" t="inlineStr">
        <is>
          <t>P10/P13</t>
        </is>
      </c>
      <c r="M25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1" s="16" t="inlineStr">
        <is>
          <t>Inspect the 15-min duplicate-punch guard, the method capture, the geofence pass/fail computation, and the supervisor-override reason + audit trail.</t>
        </is>
      </c>
      <c r="O25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1" s="16" t="inlineStr">
        <is>
          <t>time_clock method/geofence columns + override note; anti-buddy test</t>
        </is>
      </c>
      <c r="Q251" s="18" t="inlineStr">
        <is>
          <t>Implemented</t>
        </is>
      </c>
    </row>
    <row r="252">
      <c r="A252" s="11" t="inlineStr">
        <is>
          <t>PAY-06</t>
        </is>
      </c>
      <c r="B252" s="12" t="inlineStr">
        <is>
          <t>Payroll</t>
        </is>
      </c>
      <c r="C252" s="13" t="inlineStr">
        <is>
          <t>Application</t>
        </is>
      </c>
      <c r="D252" s="12" t="inlineStr">
        <is>
          <t>Payroll PII; Payslip</t>
        </is>
      </c>
      <c r="E25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2" s="12" t="inlineStr">
        <is>
          <t>Confidentiality/Restricted access</t>
        </is>
      </c>
      <c r="G25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2" s="13" t="inlineStr">
        <is>
          <t>Prev</t>
        </is>
      </c>
      <c r="I252" s="13" t="inlineStr">
        <is>
          <t>Automated</t>
        </is>
      </c>
      <c r="J252" s="13" t="inlineStr">
        <is>
          <t>Per access</t>
        </is>
      </c>
      <c r="K252" s="12" t="inlineStr">
        <is>
          <t>HR / Payroll; DPO</t>
        </is>
      </c>
      <c r="L252" s="13" t="inlineStr">
        <is>
          <t>P10</t>
        </is>
      </c>
      <c r="M25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2" s="12" t="inlineStr">
        <is>
          <t>Inspect the me()-&gt;employee_id predicate on the ESS route, the HR-route permission gate, and the last-4 citizen-ID mask.</t>
        </is>
      </c>
      <c r="O25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2" s="12" t="inlineStr">
        <is>
          <t>PDPA payslip-access test (own-200/other-404/HR-403) + masked-ID render</t>
        </is>
      </c>
      <c r="Q252" s="18" t="inlineStr">
        <is>
          <t>Implemented</t>
        </is>
      </c>
    </row>
    <row r="253">
      <c r="A253" s="15" t="inlineStr">
        <is>
          <t>HR-01</t>
        </is>
      </c>
      <c r="B253" s="16" t="inlineStr">
        <is>
          <t>Payroll</t>
        </is>
      </c>
      <c r="C253" s="17" t="inlineStr">
        <is>
          <t>Application</t>
        </is>
      </c>
      <c r="D253" s="16" t="inlineStr">
        <is>
          <t>Human Resources (headcount / labour cost)</t>
        </is>
      </c>
      <c r="E25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3" s="16" t="inlineStr">
        <is>
          <t>Authorization/Segregation of Duties</t>
        </is>
      </c>
      <c r="G25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3" s="17" t="inlineStr">
        <is>
          <t>Prev</t>
        </is>
      </c>
      <c r="I253" s="17" t="inlineStr">
        <is>
          <t>Automated</t>
        </is>
      </c>
      <c r="J253" s="17" t="inlineStr">
        <is>
          <t>Per assignment</t>
        </is>
      </c>
      <c r="K253" s="16" t="inlineStr">
        <is>
          <t>HR / Payroll; Exec (override)</t>
        </is>
      </c>
      <c r="L253" s="17" t="inlineStr">
        <is>
          <t>P10</t>
        </is>
      </c>
      <c r="M25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3" s="16" t="inlineStr">
        <is>
          <t>Inspect the active-headcount count against budgeted_headcount, the HEADCOUNT_EXCEEDED block for a non-exec, the exec-only override path, and the HEADCOUNT_OVERRIDE audit row on the doc status log.</t>
        </is>
      </c>
      <c r="O25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3" s="16" t="inlineStr">
        <is>
          <t>Position establishment register (budgeted vs current headcount); the HEADCOUNT_OVERRIDE audit trail on over-establishment hires</t>
        </is>
      </c>
      <c r="Q253" s="18" t="inlineStr">
        <is>
          <t>Implemented</t>
        </is>
      </c>
    </row>
    <row r="254">
      <c r="A254" s="11" t="inlineStr">
        <is>
          <t>FA-09</t>
        </is>
      </c>
      <c r="B254" s="12" t="inlineStr">
        <is>
          <t>Fixed Assets</t>
        </is>
      </c>
      <c r="C254" s="13" t="inlineStr">
        <is>
          <t>Application</t>
        </is>
      </c>
      <c r="D254" s="12" t="inlineStr">
        <is>
          <t>Property, Plant &amp; Equipment; Cash</t>
        </is>
      </c>
      <c r="E254" s="12" t="inlineStr">
        <is>
          <t>Asset disposed without independent review — one person writes an asset off the books and records the proceeds (asset-stripping / theft: dispose a still-held asset, or to a related party below value).</t>
        </is>
      </c>
      <c r="F254" s="12" t="inlineStr">
        <is>
          <t>Authorization</t>
        </is>
      </c>
      <c r="G25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4" s="13" t="inlineStr">
        <is>
          <t>Prev</t>
        </is>
      </c>
      <c r="I254" s="13" t="inlineStr">
        <is>
          <t>Automated</t>
        </is>
      </c>
      <c r="J254" s="13" t="inlineStr">
        <is>
          <t>Per disposal</t>
        </is>
      </c>
      <c r="K254" s="12" t="inlineStr">
        <is>
          <t>FaAccountant / Controller</t>
        </is>
      </c>
      <c r="L254" s="13" t="inlineStr">
        <is>
          <t>P10</t>
        </is>
      </c>
      <c r="M254" s="12" t="inlineStr">
        <is>
          <t>assets.service.ts dispose(pendingApproval Draft)/approveDisposal/rejectDisposal; assets.controller.ts (:assetNo/dispose/approve|reject); schema/assets.ts fixed_assets.disposal_pending + migration 0135; cutover/basics.ts + worldclass.ts + compliance.ts (ToE)</t>
        </is>
      </c>
      <c r="N254" s="12" t="inlineStr">
        <is>
          <t>Inspect Draft→approve flow + the approver≠requester check + deferred status/recycle.</t>
        </is>
      </c>
      <c r="O254" s="12" t="inlineStr">
        <is>
          <t>Re-perform: request a disposal (Draft JE excluded), attempt self-approve (SOD_VIOLATION), approve as a different user; confirm status→disposed + surplus recycled only after approval (re-performed by the harnesses).</t>
        </is>
      </c>
      <c r="P254" s="12" t="inlineStr">
        <is>
          <t>Disposal approval log + SoD test</t>
        </is>
      </c>
      <c r="Q254" s="18" t="inlineStr">
        <is>
          <t>Implemented</t>
        </is>
      </c>
    </row>
    <row r="255">
      <c r="A255" s="15" t="inlineStr">
        <is>
          <t>FA-10</t>
        </is>
      </c>
      <c r="B255" s="16" t="inlineStr">
        <is>
          <t>Fixed Assets</t>
        </is>
      </c>
      <c r="C255" s="17" t="inlineStr">
        <is>
          <t>Application</t>
        </is>
      </c>
      <c r="D255" s="16" t="inlineStr">
        <is>
          <t>Property, Plant &amp; Equipment; Accounts Payable</t>
        </is>
      </c>
      <c r="E255" s="16" t="inlineStr">
        <is>
          <t>Capital purchases mis-capitalised or capitalised without independent review — the person who receives the goods also decides what enters the asset register and at what cost/useful life (fictitious or over-valued assets; capex/opex mis-classification).</t>
        </is>
      </c>
      <c r="F255" s="16" t="inlineStr">
        <is>
          <t>Authorization; Accuracy</t>
        </is>
      </c>
      <c r="G25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5" s="17" t="inlineStr">
        <is>
          <t>Prev</t>
        </is>
      </c>
      <c r="I255" s="17" t="inlineStr">
        <is>
          <t>Automated</t>
        </is>
      </c>
      <c r="J255" s="17" t="inlineStr">
        <is>
          <t>Per capital receipt</t>
        </is>
      </c>
      <c r="K255" s="16" t="inlineStr">
        <is>
          <t>FaAccountant / Controller</t>
        </is>
      </c>
      <c r="L255" s="17" t="inlineStr">
        <is>
          <t>P10</t>
        </is>
      </c>
      <c r="M25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5" s="16" t="inlineStr">
        <is>
          <t>Inspect the eligible→request→approve flow + approver≠requester check + the inventory-vs-asset routing of capital lines.</t>
        </is>
      </c>
      <c r="O255" s="16" t="inlineStr">
        <is>
          <t>Re-perform: receive a capital line, raise a registration (no GL), attempt self-approve (SOD_VIOLATION), approve as a different user; confirm the asset + Dr 1500/Cr 2000 post only after approval and the line cannot be re-registered (re-performed by the harnesses).</t>
        </is>
      </c>
      <c r="P255" s="16" t="inlineStr">
        <is>
          <t>Capitalization approval log + SoD test</t>
        </is>
      </c>
      <c r="Q255" s="18" t="inlineStr">
        <is>
          <t>Implemented</t>
        </is>
      </c>
    </row>
    <row r="256">
      <c r="A256" s="11" t="inlineStr">
        <is>
          <t>FA-11</t>
        </is>
      </c>
      <c r="B256" s="12" t="inlineStr">
        <is>
          <t>Fixed Assets</t>
        </is>
      </c>
      <c r="C256" s="13" t="inlineStr">
        <is>
          <t>Application</t>
        </is>
      </c>
      <c r="D256" s="12" t="inlineStr">
        <is>
          <t>Property, Plant &amp; Equipment</t>
        </is>
      </c>
      <c r="E25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6" s="12" t="inlineStr">
        <is>
          <t>Authorization; Existence</t>
        </is>
      </c>
      <c r="G25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6" s="13" t="inlineStr">
        <is>
          <t>Prev / Det</t>
        </is>
      </c>
      <c r="I256" s="13" t="inlineStr">
        <is>
          <t>Automated</t>
        </is>
      </c>
      <c r="J256" s="13" t="inlineStr">
        <is>
          <t>Per custody move / per audit</t>
        </is>
      </c>
      <c r="K256" s="12" t="inlineStr">
        <is>
          <t>FaAccountant / Controller</t>
        </is>
      </c>
      <c r="L256" s="13" t="inlineStr">
        <is>
          <t>P10</t>
        </is>
      </c>
      <c r="M25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6" s="12" t="inlineStr">
        <is>
          <t>Inspect the scan-&gt;request-&gt;approve flow + the approver!=requester check + the audit reconcile-&gt;custody-request path.</t>
        </is>
      </c>
      <c r="O25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6" s="12" t="inlineStr">
        <is>
          <t>Custody-change approval log + audit reconciliation + SoD test</t>
        </is>
      </c>
      <c r="Q256" s="18" t="inlineStr">
        <is>
          <t>Implemented</t>
        </is>
      </c>
    </row>
    <row r="257">
      <c r="A257" s="15" t="inlineStr">
        <is>
          <t>FA-12</t>
        </is>
      </c>
      <c r="B257" s="16" t="inlineStr">
        <is>
          <t>Fixed Assets</t>
        </is>
      </c>
      <c r="C257" s="17" t="inlineStr">
        <is>
          <t>Detective</t>
        </is>
      </c>
      <c r="D257" s="16" t="inlineStr">
        <is>
          <t>Property, Plant &amp; Equipment</t>
        </is>
      </c>
      <c r="E257" s="16" t="inlineStr">
        <is>
          <t>Assets exist on the register but are never physically confirmed — a missing/stolen/scrapped asset stays on the books indefinitely because no periodic existence check flags it, overstating PPE and the existence assertion.</t>
        </is>
      </c>
      <c r="F257" s="16" t="inlineStr">
        <is>
          <t>Existence; Completeness</t>
        </is>
      </c>
      <c r="G25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7" s="17" t="inlineStr">
        <is>
          <t>Det</t>
        </is>
      </c>
      <c r="I257" s="17" t="inlineStr">
        <is>
          <t>Automated</t>
        </is>
      </c>
      <c r="J257" s="17" t="inlineStr">
        <is>
          <t>Monthly (scheduled) / on demand</t>
        </is>
      </c>
      <c r="K257" s="16" t="inlineStr">
        <is>
          <t>FaAccountant / Controller</t>
        </is>
      </c>
      <c r="L257" s="17" t="inlineStr">
        <is>
          <t>P16</t>
        </is>
      </c>
      <c r="M257" s="16" t="inlineStr">
        <is>
          <t>assets.service.ts unverifiedAssets/auditReport; assets.controller.ts (unverified, audit-report); bi.service.ts REPORT_TYPES asset_verification_exceptions + asset_audit + generateReport blocks; bi.module.ts imports AssetsModule; cutover/module-qr.ts (ToE)</t>
        </is>
      </c>
      <c r="N257" s="16" t="inlineStr">
        <is>
          <t>Inspect the exception query (last Scan Verify/Update vs N-day threshold, acquisition-date fallback) and that the report is a registered, schedulable BI type.</t>
        </is>
      </c>
      <c r="O25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7" s="16" t="inlineStr">
        <is>
          <t>Scheduled exception report runs + exception list + verification-movement log</t>
        </is>
      </c>
      <c r="Q257" s="18" t="inlineStr">
        <is>
          <t>Implemented</t>
        </is>
      </c>
    </row>
    <row r="258">
      <c r="A258" s="11" t="inlineStr">
        <is>
          <t>FA-13</t>
        </is>
      </c>
      <c r="B258" s="12" t="inlineStr">
        <is>
          <t>Fixed Assets</t>
        </is>
      </c>
      <c r="C258" s="13" t="inlineStr">
        <is>
          <t>Application</t>
        </is>
      </c>
      <c r="D258" s="12" t="inlineStr">
        <is>
          <t>Property, Plant &amp; Equipment; Accounts Payable</t>
        </is>
      </c>
      <c r="E25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8" s="12" t="inlineStr">
        <is>
          <t>Authorization; Accuracy</t>
        </is>
      </c>
      <c r="G25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8" s="13" t="inlineStr">
        <is>
          <t>Prev</t>
        </is>
      </c>
      <c r="I258" s="13" t="inlineStr">
        <is>
          <t>Automated</t>
        </is>
      </c>
      <c r="J258" s="13" t="inlineStr">
        <is>
          <t>Per capitalisation</t>
        </is>
      </c>
      <c r="K258" s="12" t="inlineStr">
        <is>
          <t>FaAccountant / Controller</t>
        </is>
      </c>
      <c r="L258" s="13" t="inlineStr">
        <is>
          <t>P10</t>
        </is>
      </c>
      <c r="M25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8" s="12" t="inlineStr">
        <is>
          <t>Inspect the accumulate-&gt;settle-&gt;approve flow + the approver!=requester check + the Dr 1500/Cr 1520 reclassification, and that deferred tax consumes the real tax NBV.</t>
        </is>
      </c>
      <c r="O25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8" s="12" t="inlineStr">
        <is>
          <t>CIP settlement approval log + SoD test + tax-book/deferred-tax tie-out</t>
        </is>
      </c>
      <c r="Q258" s="18" t="inlineStr">
        <is>
          <t>Implemented</t>
        </is>
      </c>
    </row>
    <row r="259">
      <c r="A259" s="15" t="inlineStr">
        <is>
          <t>CON-01</t>
        </is>
      </c>
      <c r="B259" s="16" t="inlineStr">
        <is>
          <t>Consolidation &amp; FX</t>
        </is>
      </c>
      <c r="C259" s="17" t="inlineStr">
        <is>
          <t>Application</t>
        </is>
      </c>
      <c r="D259" s="16" t="inlineStr">
        <is>
          <t>Consolidation</t>
        </is>
      </c>
      <c r="E259" s="16" t="inlineStr">
        <is>
          <t>Group consolidation mis-stated (ownership/currency).</t>
        </is>
      </c>
      <c r="F259" s="16" t="inlineStr">
        <is>
          <t>Accuracy</t>
        </is>
      </c>
      <c r="G259" s="16" t="inlineStr">
        <is>
          <t>Consolidation run (ownership %, entity currency) gated by 'approvals'.</t>
        </is>
      </c>
      <c r="H259" s="17" t="inlineStr">
        <is>
          <t>Auto+Manual</t>
        </is>
      </c>
      <c r="I259" s="17" t="inlineStr">
        <is>
          <t>Period</t>
        </is>
      </c>
      <c r="J259" s="17" t="inlineStr">
        <is>
          <t>Period</t>
        </is>
      </c>
      <c r="K259" s="16" t="inlineStr">
        <is>
          <t>Group Controller</t>
        </is>
      </c>
      <c r="L259" s="17" t="inlineStr">
        <is>
          <t>P10</t>
        </is>
      </c>
      <c r="M259" s="16" t="inlineStr">
        <is>
          <t>consolidation.service.ts (runConsolidation @Permissions approvals)</t>
        </is>
      </c>
      <c r="N259" s="16" t="inlineStr">
        <is>
          <t>Inspect consolidation logic + gate.</t>
        </is>
      </c>
      <c r="O259" s="16" t="inlineStr">
        <is>
          <t>Sample period: consolidated TB ties to entities.</t>
        </is>
      </c>
      <c r="P259" s="16" t="inlineStr">
        <is>
          <t>Consol TB</t>
        </is>
      </c>
      <c r="Q259" s="18" t="inlineStr">
        <is>
          <t>Implemented</t>
        </is>
      </c>
    </row>
    <row r="260">
      <c r="A260" s="11" t="inlineStr">
        <is>
          <t>CON-02</t>
        </is>
      </c>
      <c r="B260" s="12" t="inlineStr">
        <is>
          <t>Consolidation &amp; FX</t>
        </is>
      </c>
      <c r="C260" s="13" t="inlineStr">
        <is>
          <t>Application</t>
        </is>
      </c>
      <c r="D260" s="12" t="inlineStr">
        <is>
          <t>FX gain/loss</t>
        </is>
      </c>
      <c r="E260" s="12" t="inlineStr">
        <is>
          <t>FX exposures not revalued at period-end.</t>
        </is>
      </c>
      <c r="F260" s="12" t="inlineStr">
        <is>
          <t>Valuation</t>
        </is>
      </c>
      <c r="G260" s="12" t="inlineStr">
        <is>
          <t>FX revaluation at period-end rates; unrealized FX posted (acct 5400).</t>
        </is>
      </c>
      <c r="H260" s="13" t="inlineStr">
        <is>
          <t>Auto+Manual</t>
        </is>
      </c>
      <c r="I260" s="13" t="inlineStr">
        <is>
          <t>Period-end</t>
        </is>
      </c>
      <c r="J260" s="13" t="inlineStr">
        <is>
          <t>Period</t>
        </is>
      </c>
      <c r="K260" s="12" t="inlineStr">
        <is>
          <t>Controller</t>
        </is>
      </c>
      <c r="L260" s="13" t="inlineStr">
        <is>
          <t>P10</t>
        </is>
      </c>
      <c r="M260" s="12" t="inlineStr">
        <is>
          <t>fx.service.ts (revalue / unrealized report)</t>
        </is>
      </c>
      <c r="N260" s="12" t="inlineStr">
        <is>
          <t>Inspect reval logic + rates.</t>
        </is>
      </c>
      <c r="O260" s="12" t="inlineStr">
        <is>
          <t>Recompute reval on sample balances.</t>
        </is>
      </c>
      <c r="P260" s="12" t="inlineStr">
        <is>
          <t>FX reval JE</t>
        </is>
      </c>
      <c r="Q260" s="18" t="inlineStr">
        <is>
          <t>Implemented</t>
        </is>
      </c>
    </row>
    <row r="261">
      <c r="A261" s="15" t="inlineStr">
        <is>
          <t>CON-03</t>
        </is>
      </c>
      <c r="B261" s="16" t="inlineStr">
        <is>
          <t>Consolidation &amp; FX</t>
        </is>
      </c>
      <c r="C261" s="17" t="inlineStr">
        <is>
          <t>Application</t>
        </is>
      </c>
      <c r="D261" s="16" t="inlineStr">
        <is>
          <t>Consolidation</t>
        </is>
      </c>
      <c r="E261" s="16" t="inlineStr">
        <is>
          <t>Intercompany balances/transactions are not eliminated on consolidation, OR eliminations are mis-stated, so the consolidated group trial balance does not balance and group financials are overstated (IC double-counted).</t>
        </is>
      </c>
      <c r="F261" s="16" t="inlineStr">
        <is>
          <t>Accuracy/Completeness</t>
        </is>
      </c>
      <c r="G26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1" s="17" t="inlineStr">
        <is>
          <t>Prev</t>
        </is>
      </c>
      <c r="I261" s="17" t="inlineStr">
        <is>
          <t>Auto+Manual</t>
        </is>
      </c>
      <c r="J261" s="17" t="inlineStr">
        <is>
          <t>Period</t>
        </is>
      </c>
      <c r="K261" s="16" t="inlineStr">
        <is>
          <t>Group Controller</t>
        </is>
      </c>
      <c r="L261" s="17" t="inlineStr">
        <is>
          <t>P10</t>
        </is>
      </c>
      <c r="M26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1" s="16" t="inlineStr">
        <is>
          <t>Inspect the combine→eliminate→balance flow, the CONSOL_UNBALANCED guard, and the run→post approver≠runner check.</t>
        </is>
      </c>
      <c r="O261" s="16" t="inlineStr">
        <is>
          <t>Re-perform: run a group consolidation, confirm IC 1150/2150 eliminate and the consolidated TB balances; attempt self-post (SELF_POST); post as a different user (Posted); re-run the posted period (ALREADY_POSTED). Re-performed by the consolidation harness.</t>
        </is>
      </c>
      <c r="P261" s="16" t="inlineStr">
        <is>
          <t>Consolidated TB + elimination lines + post log</t>
        </is>
      </c>
      <c r="Q261" s="18" t="inlineStr">
        <is>
          <t>Implemented</t>
        </is>
      </c>
    </row>
    <row r="262">
      <c r="A262" s="11" t="inlineStr">
        <is>
          <t>CON-04</t>
        </is>
      </c>
      <c r="B262" s="12" t="inlineStr">
        <is>
          <t>Consolidation &amp; FX</t>
        </is>
      </c>
      <c r="C262" s="13" t="inlineStr">
        <is>
          <t>Application</t>
        </is>
      </c>
      <c r="D262" s="12" t="inlineStr">
        <is>
          <t>All (segment disclosure)</t>
        </is>
      </c>
      <c r="E262" s="12" t="inlineStr">
        <is>
          <t>Segment (branch/project/department) operating results are not reported, so IFRS 8 segment disclosure is incomplete or inaccurate and management/investors cannot see results by reportable segment.</t>
        </is>
      </c>
      <c r="F262" s="12" t="inlineStr">
        <is>
          <t>Presentation/Disclosure</t>
        </is>
      </c>
      <c r="G26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2" s="13" t="inlineStr">
        <is>
          <t>Det</t>
        </is>
      </c>
      <c r="I262" s="13" t="inlineStr">
        <is>
          <t>Auto+Manual</t>
        </is>
      </c>
      <c r="J262" s="13" t="inlineStr">
        <is>
          <t>Period</t>
        </is>
      </c>
      <c r="K262" s="12" t="inlineStr">
        <is>
          <t>Group Controller</t>
        </is>
      </c>
      <c r="L262" s="13" t="inlineStr">
        <is>
          <t>P10</t>
        </is>
      </c>
      <c r="M262" s="12" t="inlineStr">
        <is>
          <t>consolidation.service.ts defineSegment/listSegments/segmentReport; consolidation.controller.ts (segments, segment-report @exec); schema/consolidation.ts segment_definitions + migration 0170; cutover/consolidation.ts (ToE)</t>
        </is>
      </c>
      <c r="N262" s="12" t="inlineStr">
        <is>
          <t>Inspect the segment mapping + the dimension-grouped P&amp;L aggregation.</t>
        </is>
      </c>
      <c r="O262" s="12" t="inlineStr">
        <is>
          <t>Re-perform: define a segment over branches, run the segment report for a period, confirm revenue/expense/net tie to the underlying dimensioned postings. Re-performed by the consolidation harness.</t>
        </is>
      </c>
      <c r="P262" s="12" t="inlineStr">
        <is>
          <t>Segment P&amp;L report</t>
        </is>
      </c>
      <c r="Q262" s="18" t="inlineStr">
        <is>
          <t>Implemented</t>
        </is>
      </c>
    </row>
    <row r="263">
      <c r="A263" s="15" t="inlineStr">
        <is>
          <t>FX-04</t>
        </is>
      </c>
      <c r="B263" s="16" t="inlineStr">
        <is>
          <t>Consolidation &amp; FX</t>
        </is>
      </c>
      <c r="C263" s="17" t="inlineStr">
        <is>
          <t>Application</t>
        </is>
      </c>
      <c r="D263" s="16" t="inlineStr">
        <is>
          <t>FX gain/loss; Revenue; AR/AP</t>
        </is>
      </c>
      <c r="E263" s="16" t="inlineStr">
        <is>
          <t>A wrong manually-entered FX rate (fat-fingered, e.g. USD 36 keyed as 63) flows straight into a period-end revaluation JE and the unrealized-FX report with no independent review — mis-stating earnings/equity and FX-translated balances.</t>
        </is>
      </c>
      <c r="F263" s="16" t="inlineStr">
        <is>
          <t>Accuracy/Valuation</t>
        </is>
      </c>
      <c r="G26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3" s="17" t="inlineStr">
        <is>
          <t>Prev</t>
        </is>
      </c>
      <c r="I263" s="17" t="inlineStr">
        <is>
          <t>Automated</t>
        </is>
      </c>
      <c r="J263" s="17" t="inlineStr">
        <is>
          <t>Per rate</t>
        </is>
      </c>
      <c r="K263" s="16" t="inlineStr">
        <is>
          <t>Controller / Treasury</t>
        </is>
      </c>
      <c r="L263" s="17" t="inlineStr">
        <is>
          <t>P10</t>
        </is>
      </c>
      <c r="M26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3" s="16" t="inlineStr">
        <is>
          <t>Inspect the request→approve flow + the approver≠requester check + that revaluation/reporting resolve Approved rates only.</t>
        </is>
      </c>
      <c r="O263" s="16" t="inlineStr">
        <is>
          <t>Re-perform: enter a manual rate (PendingApproval), confirm revalue is blocked NO_RATE while pending, attempt self-approve (SOD_VIOLATION), approve as a different user, then revalue succeeds (re-performed by the fxreval harness).</t>
        </is>
      </c>
      <c r="P263" s="16" t="inlineStr">
        <is>
          <t>FX rate approval log + SoD test</t>
        </is>
      </c>
      <c r="Q263" s="18" t="inlineStr">
        <is>
          <t>Implemented</t>
        </is>
      </c>
    </row>
    <row r="264">
      <c r="A264" s="11" t="inlineStr">
        <is>
          <t>CON-05</t>
        </is>
      </c>
      <c r="B264" s="12" t="inlineStr">
        <is>
          <t>Consolidation &amp; FX</t>
        </is>
      </c>
      <c r="C264" s="13" t="inlineStr">
        <is>
          <t>Application</t>
        </is>
      </c>
      <c r="D264" s="12" t="inlineStr">
        <is>
          <t>Consolidation; FX (CTA/OCI); Equity</t>
        </is>
      </c>
      <c r="E26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4" s="12" t="inlineStr">
        <is>
          <t>Accuracy/Valuation/Presentation</t>
        </is>
      </c>
      <c r="G26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4" s="13" t="inlineStr">
        <is>
          <t>Prev</t>
        </is>
      </c>
      <c r="I264" s="13" t="inlineStr">
        <is>
          <t>Automated</t>
        </is>
      </c>
      <c r="J264" s="13" t="inlineStr">
        <is>
          <t>Period</t>
        </is>
      </c>
      <c r="K264" s="12" t="inlineStr">
        <is>
          <t>Group Controller</t>
        </is>
      </c>
      <c r="L264" s="13" t="inlineStr">
        <is>
          <t>P10</t>
        </is>
      </c>
      <c r="M26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4" s="12" t="inlineStr">
        <is>
          <t>Inspect the average-vs-closing rate selection, the CTA plug that rebalances each foreign entity, and the post-elimination consolidated SCF derivation/reconciliation.</t>
        </is>
      </c>
      <c r="O26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4" s="12" t="inlineStr">
        <is>
          <t>Consolidated TB with CTA/OCI line + consolidated SCF</t>
        </is>
      </c>
      <c r="Q264" s="18" t="inlineStr">
        <is>
          <t>Implemented</t>
        </is>
      </c>
    </row>
    <row r="265">
      <c r="A265" s="15" t="inlineStr">
        <is>
          <t>BUD-01</t>
        </is>
      </c>
      <c r="B265" s="16" t="inlineStr">
        <is>
          <t>Budgeting &amp; Planning</t>
        </is>
      </c>
      <c r="C265" s="17" t="inlineStr">
        <is>
          <t>Application</t>
        </is>
      </c>
      <c r="D265" s="16" t="inlineStr">
        <is>
          <t>Budget; All (variance reporting)</t>
        </is>
      </c>
      <c r="E26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5" s="16" t="inlineStr">
        <is>
          <t>Authorization/Accuracy</t>
        </is>
      </c>
      <c r="G26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5" s="17" t="inlineStr">
        <is>
          <t>Prev</t>
        </is>
      </c>
      <c r="I265" s="17" t="inlineStr">
        <is>
          <t>Automated</t>
        </is>
      </c>
      <c r="J265" s="17" t="inlineStr">
        <is>
          <t>Per budget</t>
        </is>
      </c>
      <c r="K265" s="16" t="inlineStr">
        <is>
          <t>Controller / FP&amp;A</t>
        </is>
      </c>
      <c r="L265" s="17" t="inlineStr">
        <is>
          <t>P10</t>
        </is>
      </c>
      <c r="M265" s="16" t="inlineStr">
        <is>
          <t>budget.service.ts upsertBudget(→PendingApproval)/approveBudget/rejectBudget/budgetVsActual(Approved only); budget.controller.ts (budgets/approve|reject|pending gated approvals/gl_close); schema/budgets.ts budgets.status + migration 0142; cutover/budget.ts (ToE)</t>
        </is>
      </c>
      <c r="N265" s="16" t="inlineStr">
        <is>
          <t>Inspect the request→approve flow + the approver≠requester check + that budget-vs-actual counts Approved budgets only.</t>
        </is>
      </c>
      <c r="O265" s="16" t="inlineStr">
        <is>
          <t>Re-perform: upsert a budget (PendingApproval, excluded from variance), attempt self-approve (SOD_VIOLATION), approve as a different user, confirm it then appears in budget-vs-actual (re-performed by the budget harness).</t>
        </is>
      </c>
      <c r="P265" s="16" t="inlineStr">
        <is>
          <t>Budget approval log + SoD test</t>
        </is>
      </c>
      <c r="Q265" s="18" t="inlineStr">
        <is>
          <t>Implemented</t>
        </is>
      </c>
    </row>
    <row r="266">
      <c r="A266" s="11" t="inlineStr">
        <is>
          <t>BUD-02</t>
        </is>
      </c>
      <c r="B266" s="12" t="inlineStr">
        <is>
          <t>Budgeting &amp; Planning</t>
        </is>
      </c>
      <c r="C266" s="13" t="inlineStr">
        <is>
          <t>Application</t>
        </is>
      </c>
      <c r="D266" s="12" t="inlineStr">
        <is>
          <t>Budget; Procurement (P2P spend)</t>
        </is>
      </c>
      <c r="E26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6" s="12" t="inlineStr">
        <is>
          <t>Authorization/Completeness</t>
        </is>
      </c>
      <c r="G26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6" s="13" t="inlineStr">
        <is>
          <t>Prev</t>
        </is>
      </c>
      <c r="I266" s="13" t="inlineStr">
        <is>
          <t>Automated</t>
        </is>
      </c>
      <c r="J266" s="13" t="inlineStr">
        <is>
          <t>Per approval</t>
        </is>
      </c>
      <c r="K266" s="12" t="inlineStr">
        <is>
          <t>Controller / FP&amp;A</t>
        </is>
      </c>
      <c r="L266" s="13" t="inlineStr">
        <is>
          <t>P10</t>
        </is>
      </c>
      <c r="M26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6" s="12" t="inlineStr">
        <is>
          <t>Inspect the availability formula (budget − actuals − open commitments), the policy switch + fail-open default, the exec-only override with mandatory reason, and the commitment lifecycle (reserve→consume/release).</t>
        </is>
      </c>
      <c r="O26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6" s="12" t="inlineStr">
        <is>
          <t>Budget-control policy + budget_commitments audit rows (override_by/override_reason)</t>
        </is>
      </c>
      <c r="Q266" s="18" t="inlineStr">
        <is>
          <t>Implemented</t>
        </is>
      </c>
    </row>
    <row r="267">
      <c r="A267" s="15" t="inlineStr">
        <is>
          <t>HR-03</t>
        </is>
      </c>
      <c r="B267" s="16" t="inlineStr">
        <is>
          <t>Payroll</t>
        </is>
      </c>
      <c r="C267" s="17" t="inlineStr">
        <is>
          <t>Application</t>
        </is>
      </c>
      <c r="D267" s="16" t="inlineStr">
        <is>
          <t>Human Resources; Payroll</t>
        </is>
      </c>
      <c r="E26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7" s="16" t="inlineStr">
        <is>
          <t>Authorization/Segregation of Duties</t>
        </is>
      </c>
      <c r="G26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7" s="17" t="inlineStr">
        <is>
          <t>Prev</t>
        </is>
      </c>
      <c r="I267" s="17" t="inlineStr">
        <is>
          <t>Automated</t>
        </is>
      </c>
      <c r="J267" s="17" t="inlineStr">
        <is>
          <t>Per review</t>
        </is>
      </c>
      <c r="K267" s="16" t="inlineStr">
        <is>
          <t>HR / People Ops; Line Manager</t>
        </is>
      </c>
      <c r="L267" s="17" t="inlineStr">
        <is>
          <t>P10</t>
        </is>
      </c>
      <c r="M26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7" s="16" t="inlineStr">
        <is>
          <t>Inspect the manager-rating self-review guard, the sign-off signer-vs-reviewee guard + manager-rating precondition, and the &lt;=100% goal-weight check.</t>
        </is>
      </c>
      <c r="O26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7" s="16" t="inlineStr">
        <is>
          <t>Review workflow log (self/manager/calibrated/signed) + SoD test</t>
        </is>
      </c>
      <c r="Q267" s="18" t="inlineStr">
        <is>
          <t>Implemented</t>
        </is>
      </c>
    </row>
    <row r="268">
      <c r="A268" s="11" t="inlineStr">
        <is>
          <t>HR-02</t>
        </is>
      </c>
      <c r="B268" s="12" t="inlineStr">
        <is>
          <t>Payroll</t>
        </is>
      </c>
      <c r="C268" s="13" t="inlineStr">
        <is>
          <t>Application</t>
        </is>
      </c>
      <c r="D268" s="12" t="inlineStr">
        <is>
          <t>Leave liability; Payroll expense</t>
        </is>
      </c>
      <c r="E26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8" s="12" t="inlineStr">
        <is>
          <t>Accuracy/Authorization</t>
        </is>
      </c>
      <c r="G26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8" s="13" t="inlineStr">
        <is>
          <t>Prev</t>
        </is>
      </c>
      <c r="I268" s="13" t="inlineStr">
        <is>
          <t>Automated</t>
        </is>
      </c>
      <c r="J268" s="13" t="inlineStr">
        <is>
          <t>Per request / monthly accrual</t>
        </is>
      </c>
      <c r="K268" s="12" t="inlineStr">
        <is>
          <t>HR / Payroll</t>
        </is>
      </c>
      <c r="L268" s="13" t="inlineStr">
        <is>
          <t>P10</t>
        </is>
      </c>
      <c r="M26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8" s="12" t="inlineStr">
        <is>
          <t>Inspect the effective-rate resolution (policy grade/tenure -&gt; type default), the per-(tenant,period) idempotency guard, the carryover-cap + max-balance clamps, and the requestLeave available-balance gate.</t>
        </is>
      </c>
      <c r="O26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8" s="12" t="inlineStr">
        <is>
          <t>leave_types/leave_policies/leave_accrual_runs register + accrual/gate test</t>
        </is>
      </c>
      <c r="Q268" s="18" t="inlineStr">
        <is>
          <t>Implemented</t>
        </is>
      </c>
    </row>
    <row r="269">
      <c r="A269" s="15" t="inlineStr">
        <is>
          <t>HR-06</t>
        </is>
      </c>
      <c r="B269" s="16" t="inlineStr">
        <is>
          <t>Payroll</t>
        </is>
      </c>
      <c r="C269" s="17" t="inlineStr">
        <is>
          <t>Application</t>
        </is>
      </c>
      <c r="D269" s="16" t="inlineStr">
        <is>
          <t>Human Resources; Payroll expense</t>
        </is>
      </c>
      <c r="E26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9" s="16" t="inlineStr">
        <is>
          <t>Authorization/Segregation of Duties</t>
        </is>
      </c>
      <c r="G26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9" s="17" t="inlineStr">
        <is>
          <t>Prev</t>
        </is>
      </c>
      <c r="I269" s="17" t="inlineStr">
        <is>
          <t>Automated</t>
        </is>
      </c>
      <c r="J269" s="17" t="inlineStr">
        <is>
          <t>Per comp change</t>
        </is>
      </c>
      <c r="K269" s="16" t="inlineStr">
        <is>
          <t>HR / People Ops; HR Admin / Exec (approve)</t>
        </is>
      </c>
      <c r="L269" s="17" t="inlineStr">
        <is>
          <t>P10</t>
        </is>
      </c>
      <c r="M26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9" s="16" t="inlineStr">
        <is>
          <t>Inspect the new_salary-within-[min,max] band check, the OUT_OF_BAND block + hr_admin/exec override audit row, the approved_by != requested_by self-approval guard, and that the employee monthly_salary is updated only on approval.</t>
        </is>
      </c>
      <c r="O26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9" s="16" t="inlineStr">
        <is>
          <t>pay_grades band register + comp-change approval log (OUT_OF_BAND override + SoD test) + benefit enrolment register</t>
        </is>
      </c>
      <c r="Q269" s="18" t="inlineStr">
        <is>
          <t>Implemented</t>
        </is>
      </c>
    </row>
    <row r="270">
      <c r="A270" s="11" t="inlineStr">
        <is>
          <t>HR-08</t>
        </is>
      </c>
      <c r="B270" s="12" t="inlineStr">
        <is>
          <t>Payroll</t>
        </is>
      </c>
      <c r="C270" s="13" t="inlineStr">
        <is>
          <t>Application</t>
        </is>
      </c>
      <c r="D270" s="12" t="inlineStr">
        <is>
          <t>Human Resources (employee master data); Payroll expense</t>
        </is>
      </c>
      <c r="E27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0" s="12" t="inlineStr">
        <is>
          <t>Authorization/Segregation of Duties</t>
        </is>
      </c>
      <c r="G27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0" s="13" t="inlineStr">
        <is>
          <t>Prev</t>
        </is>
      </c>
      <c r="I270" s="13" t="inlineStr">
        <is>
          <t>Automated</t>
        </is>
      </c>
      <c r="J270" s="13" t="inlineStr">
        <is>
          <t>Per profile change</t>
        </is>
      </c>
      <c r="K270" s="12" t="inlineStr">
        <is>
          <t>Employee (self-service); HR / HR Admin (approve)</t>
        </is>
      </c>
      <c r="L270" s="13" t="inlineStr">
        <is>
          <t>P10</t>
        </is>
      </c>
      <c r="M27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0" s="12" t="inlineStr">
        <is>
          <t>Inspect the sensitive-field pending gate, the approved_by != requested_by self-approval guard, the employee-master write only on approval, the ESSPROFILE before/after audit row, own-scope emp_code resolution from the JWT, and the isSafeObjectKey validation.</t>
        </is>
      </c>
      <c r="O27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0" s="12" t="inlineStr">
        <is>
          <t>ess_profile_change_requests approval log (SoD + before/after ESSPROFILE audit) + employee_documents register + own-scope isolation test</t>
        </is>
      </c>
      <c r="Q270" s="18" t="inlineStr">
        <is>
          <t>Implemented</t>
        </is>
      </c>
    </row>
    <row r="271">
      <c r="A271" s="15" t="inlineStr">
        <is>
          <t>HR-05</t>
        </is>
      </c>
      <c r="B271" s="16" t="inlineStr">
        <is>
          <t>Payroll</t>
        </is>
      </c>
      <c r="C271" s="17" t="inlineStr">
        <is>
          <t>Application</t>
        </is>
      </c>
      <c r="D271" s="16" t="inlineStr">
        <is>
          <t>Human Resources (joiner-mover-leaver / IT access)</t>
        </is>
      </c>
      <c r="E27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1" s="16" t="inlineStr">
        <is>
          <t>Authorization/Segregation of Duties</t>
        </is>
      </c>
      <c r="G27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1" s="17" t="inlineStr">
        <is>
          <t>Prev/Det</t>
        </is>
      </c>
      <c r="I271" s="17" t="inlineStr">
        <is>
          <t>Automated</t>
        </is>
      </c>
      <c r="J271" s="17" t="inlineStr">
        <is>
          <t>Per departure / periodic exception scan</t>
        </is>
      </c>
      <c r="K271" s="16" t="inlineStr">
        <is>
          <t>HR / People Ops; IT Security</t>
        </is>
      </c>
      <c r="L271" s="17" t="inlineStr">
        <is>
          <t>P10</t>
        </is>
      </c>
      <c r="M27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1" s="16" t="inlineStr">
        <is>
          <t>Inspect the access-revocation-pending count vs the completion gate, the hr_admin/exec + reason skip authorisation with its ACCESS_REVOCATION_SKIP audit row, and the offboarding-exceptions detective query.</t>
        </is>
      </c>
      <c r="O27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1" s="16" t="inlineStr">
        <is>
          <t>Offboarding checklist with the access-revocation completion gate + the ACCESS_REVOCATION_SKIP audit trail + the offboarding-exceptions exception register</t>
        </is>
      </c>
      <c r="Q271" s="18" t="inlineStr">
        <is>
          <t>Implemented</t>
        </is>
      </c>
    </row>
    <row r="272">
      <c r="A272" s="11" t="inlineStr">
        <is>
          <t>HR-04</t>
        </is>
      </c>
      <c r="B272" s="12" t="inlineStr">
        <is>
          <t>Payroll</t>
        </is>
      </c>
      <c r="C272" s="13" t="inlineStr">
        <is>
          <t>Application</t>
        </is>
      </c>
      <c r="D272" s="12" t="inlineStr">
        <is>
          <t>Human Resources (headcount / labour cost); Payroll expense</t>
        </is>
      </c>
      <c r="E27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2" s="12" t="inlineStr">
        <is>
          <t>Authorization/Segregation of Duties</t>
        </is>
      </c>
      <c r="G27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2" s="13" t="inlineStr">
        <is>
          <t>Prev</t>
        </is>
      </c>
      <c r="I272" s="13" t="inlineStr">
        <is>
          <t>Automated</t>
        </is>
      </c>
      <c r="J272" s="13" t="inlineStr">
        <is>
          <t>Per requisition / per offer / per hire</t>
        </is>
      </c>
      <c r="K272" s="12" t="inlineStr">
        <is>
          <t>HR / People Ops; Hiring Manager; Exec</t>
        </is>
      </c>
      <c r="L272" s="13" t="inlineStr">
        <is>
          <t>P10</t>
        </is>
      </c>
      <c r="M27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2" s="12" t="inlineStr">
        <is>
          <t>Inspect the requisition approve maker-checker (approver != requested_by), the requisition-approved gate on the offer/hire stages, the offer authorization (approver != created_by) before convert, and the headcount-bound hire that mints the employee.</t>
        </is>
      </c>
      <c r="O27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2" s="12" t="inlineStr">
        <is>
          <t>Requisition + offer approval log (JOBREQ/OFFER) + the recruiting register (requisitions/candidates/applications/offers); SoD + headcount test</t>
        </is>
      </c>
      <c r="Q272" s="18" t="inlineStr">
        <is>
          <t>Implemented</t>
        </is>
      </c>
    </row>
    <row r="273">
      <c r="A273" s="15" t="inlineStr">
        <is>
          <t>HR-09</t>
        </is>
      </c>
      <c r="B273" s="16" t="inlineStr">
        <is>
          <t>Payroll</t>
        </is>
      </c>
      <c r="C273" s="17" t="inlineStr">
        <is>
          <t>Application</t>
        </is>
      </c>
      <c r="D273" s="16" t="inlineStr">
        <is>
          <t>Human Resources; Workforce cost &amp; governance</t>
        </is>
      </c>
      <c r="E27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3" s="16" t="inlineStr">
        <is>
          <t>Monitoring/Analytical review</t>
        </is>
      </c>
      <c r="G27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3" s="17" t="inlineStr">
        <is>
          <t>Det</t>
        </is>
      </c>
      <c r="I273" s="17" t="inlineStr">
        <is>
          <t>Automated</t>
        </is>
      </c>
      <c r="J273" s="17" t="inlineStr">
        <is>
          <t>Periodic (scheduled workforce review — monthly/quarterly)</t>
        </is>
      </c>
      <c r="K273" s="16" t="inlineStr">
        <is>
          <t>HR / People Ops; Exec / Board</t>
        </is>
      </c>
      <c r="L273" s="17" t="inlineStr">
        <is>
          <t>P11</t>
        </is>
      </c>
      <c r="M27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3" s="16" t="inlineStr">
        <is>
          <t>Inspect that each report type is an idempotent read (no writes), is tenant-scoped (a T2 run returns only T2's workforce), and that the comp-ratio out-of-band flag and the leave-liability valuation reconcile to the pay_grades bands and leave_balances.</t>
        </is>
      </c>
      <c r="O27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3" s="16" t="inlineStr">
        <is>
          <t>The persisted report_runs payloads for the five workforce-analytics report types (headcount/turnover/tenure/comp-ratio/leave-liability) + the scheduled-report subscriptions</t>
        </is>
      </c>
      <c r="Q273" s="18" t="inlineStr">
        <is>
          <t>Implemented</t>
        </is>
      </c>
    </row>
    <row r="274">
      <c r="A274" s="11" t="inlineStr">
        <is>
          <t>HR-07</t>
        </is>
      </c>
      <c r="B274" s="12" t="inlineStr">
        <is>
          <t>Payroll</t>
        </is>
      </c>
      <c r="C274" s="13" t="inlineStr">
        <is>
          <t>Application</t>
        </is>
      </c>
      <c r="D274" s="12" t="inlineStr">
        <is>
          <t>Human Resources (mandatory training / competency); Compliance</t>
        </is>
      </c>
      <c r="E27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4" s="12" t="inlineStr">
        <is>
          <t>Completeness/Accuracy</t>
        </is>
      </c>
      <c r="G27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4" s="13" t="inlineStr">
        <is>
          <t>Prev/Det</t>
        </is>
      </c>
      <c r="I274" s="13" t="inlineStr">
        <is>
          <t>Automated</t>
        </is>
      </c>
      <c r="J274" s="13" t="inlineStr">
        <is>
          <t>Per completion; periodic compliance review</t>
        </is>
      </c>
      <c r="K274" s="12" t="inlineStr">
        <is>
          <t>HR / People Ops; HR Admin / Exec</t>
        </is>
      </c>
      <c r="L274" s="13" t="inlineStr">
        <is>
          <t>P10</t>
        </is>
      </c>
      <c r="M27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4" s="12" t="inlineStr">
        <is>
          <t>Training register (courses/sessions/enrollments) + certification register with expiry + the TRAINCERT mint log + the expired/expiring compliance report</t>
        </is>
      </c>
      <c r="Q274" s="18" t="inlineStr">
        <is>
          <t>Implemented</t>
        </is>
      </c>
    </row>
  </sheetData>
  <autoFilter ref="A1:Q2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COUNTIF(RCM!$Q$2:$Q$274,B5)</f>
        <v/>
      </c>
    </row>
    <row r="6">
      <c r="B6" s="27" t="inlineStr">
        <is>
          <t>Partial</t>
        </is>
      </c>
      <c r="C6" s="26">
        <f>COUNTIF(RCM!$Q$2:$Q$274,B6)</f>
        <v/>
      </c>
    </row>
    <row r="7">
      <c r="B7" s="28" t="inlineStr">
        <is>
          <t>Gap</t>
        </is>
      </c>
      <c r="C7" s="26">
        <f>COUNTIF(RCM!$Q$2:$Q$274,B7)</f>
        <v/>
      </c>
    </row>
    <row r="8">
      <c r="B8" s="29" t="inlineStr">
        <is>
          <t>Total</t>
        </is>
      </c>
      <c r="C8" s="29">
        <f>COUNTA(RCM!$A$2:$A$274)</f>
        <v/>
      </c>
    </row>
    <row r="10">
      <c r="B10" s="24" t="inlineStr">
        <is>
          <t>By Category</t>
        </is>
      </c>
    </row>
    <row r="11">
      <c r="B11" s="26" t="inlineStr">
        <is>
          <t>Entity</t>
        </is>
      </c>
      <c r="C11" s="26">
        <f>COUNTIF(RCM!$C$2:$C$274,B11)</f>
        <v/>
      </c>
    </row>
    <row r="12">
      <c r="B12" s="26" t="inlineStr">
        <is>
          <t>ITGC</t>
        </is>
      </c>
      <c r="C12" s="26">
        <f>COUNTIF(RCM!$C$2:$C$274,B12)</f>
        <v/>
      </c>
    </row>
    <row r="13">
      <c r="B13" s="26" t="inlineStr">
        <is>
          <t>Application</t>
        </is>
      </c>
      <c r="C13" s="26">
        <f>COUNTIF(RCM!$C$2:$C$274,B13)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crm/crm.controller.ts (audience-export/preview + /register, marketing/exec); schema/audience-exports.ts + migration 0379 (canonical org-scoped RLS, tenant-leading index); cutover/pdpa.ts (PDPA-05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PROJ-19</t>
        </is>
      </c>
      <c r="B174" s="12" t="inlineStr">
        <is>
          <t>Project Accounting</t>
        </is>
      </c>
      <c r="C174" s="13" t="inlineStr">
        <is>
          <t>Detective</t>
        </is>
      </c>
      <c r="D174" s="12" t="inlineStr">
        <is>
          <t>Project schedule performance (earned schedule)</t>
        </is>
      </c>
      <c r="E17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4" s="12" t="inlineStr">
        <is>
          <t>Completeness/Timeliness</t>
        </is>
      </c>
      <c r="G17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4" s="13" t="inlineStr">
        <is>
          <t>Det</t>
        </is>
      </c>
      <c r="I174" s="13" t="inlineStr">
        <is>
          <t>Automated</t>
        </is>
      </c>
      <c r="J174" s="13" t="inlineStr">
        <is>
          <t>Continuous / per review</t>
        </is>
      </c>
      <c r="K174" s="12" t="inlineStr">
        <is>
          <t>PMO / ProjectController</t>
        </is>
      </c>
      <c r="L174" s="13" t="inlineStr">
        <is>
          <t>P13</t>
        </is>
      </c>
      <c r="M17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4" s="12" t="inlineStr">
        <is>
          <t>Inspect the ES interpolation (last cumulative-PV ≤ EV month + within-month fraction, plateau credited), the AT month arithmetic, the SPI(t)/SV(t)/forecast derivation, and the action-center gate (fires only when the project is not already red).</t>
        </is>
      </c>
      <c r="O17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4" s="12" t="inlineStr">
        <is>
          <t>Earned-schedule endpoint payload (ES/AT/SV(t)/SPI(t)/forecast finish); the schedule_slip_es action-center item</t>
        </is>
      </c>
      <c r="Q174" s="18" t="inlineStr">
        <is>
          <t>Implemented</t>
        </is>
      </c>
    </row>
    <row r="175">
      <c r="A175" s="15" t="inlineStr">
        <is>
          <t>RE-01</t>
        </is>
      </c>
      <c r="B175" s="16" t="inlineStr">
        <is>
          <t>Real Estate</t>
        </is>
      </c>
      <c r="C175" s="17" t="inlineStr">
        <is>
          <t>Application</t>
        </is>
      </c>
      <c r="D175" s="16" t="inlineStr">
        <is>
          <t>Unit inventory (double-allocation)</t>
        </is>
      </c>
      <c r="E175" s="16" t="inlineStr">
        <is>
          <t>A property developer sells the SAME unit twice — a unit already reserved/contracted is booked or contracted again to another buyer, so two buyers hold a claim on one unit and the availability grid overstates inventory.</t>
        </is>
      </c>
      <c r="F175" s="16" t="inlineStr">
        <is>
          <t>Completeness/Accuracy</t>
        </is>
      </c>
      <c r="G17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5" s="17" t="inlineStr">
        <is>
          <t>Prev</t>
        </is>
      </c>
      <c r="I175" s="17" t="inlineStr">
        <is>
          <t>Automated</t>
        </is>
      </c>
      <c r="J175" s="17" t="inlineStr">
        <is>
          <t>Per booking / contract</t>
        </is>
      </c>
      <c r="K175" s="16" t="inlineStr">
        <is>
          <t>Sales / Developer Ops</t>
        </is>
      </c>
      <c r="L175" s="17" t="inlineStr">
        <is>
          <t>P13</t>
        </is>
      </c>
      <c r="M17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5" s="16" t="inlineStr">
        <is>
          <t>Inspect the unit status machine (available→reserved→contracted), the booking/contract admission guards, and the availability grid tie-out.</t>
        </is>
      </c>
      <c r="O175" s="16" t="inlineStr">
        <is>
          <t>Re-perform: book an available unit → reserved; re-book it → UNIT_NOT_AVAILABLE; contract it → contracted; contract it again → UNIT_NOT_CONTRACTABLE; the availability summary reflects the counts (re-performed by the projects harness).</t>
        </is>
      </c>
      <c r="P175" s="16" t="inlineStr">
        <is>
          <t>Unit availability grid; booking/contract admission log</t>
        </is>
      </c>
      <c r="Q175" s="18" t="inlineStr">
        <is>
          <t>Implemented</t>
        </is>
      </c>
    </row>
    <row r="176">
      <c r="A176" s="11" t="inlineStr">
        <is>
          <t>RE-02</t>
        </is>
      </c>
      <c r="B176" s="12" t="inlineStr">
        <is>
          <t>Real Estate</t>
        </is>
      </c>
      <c r="C176" s="13" t="inlineStr">
        <is>
          <t>Application</t>
        </is>
      </c>
      <c r="D176" s="12" t="inlineStr">
        <is>
          <t>Sale contract (price/discount authority)</t>
        </is>
      </c>
      <c r="E176" s="12" t="inlineStr">
        <is>
          <t>A unit is sold at an unauthorised price — a large discount is granted and the contract self-approved by the salesperson (e.g. to a related buyer), with no independent authorisation of the price/discount before the sale is booked and cash is taken.</t>
        </is>
      </c>
      <c r="F176" s="12" t="inlineStr">
        <is>
          <t>Authorization/Segregation of Duties</t>
        </is>
      </c>
      <c r="G17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6" s="13" t="inlineStr">
        <is>
          <t>Prev</t>
        </is>
      </c>
      <c r="I176" s="13" t="inlineStr">
        <is>
          <t>Automated</t>
        </is>
      </c>
      <c r="J176" s="13" t="inlineStr">
        <is>
          <t>Per sale contract</t>
        </is>
      </c>
      <c r="K176" s="12" t="inlineStr">
        <is>
          <t>Sales Manager / Developer Controller (segregated)</t>
        </is>
      </c>
      <c r="L176" s="13" t="inlineStr">
        <is>
          <t>P13</t>
        </is>
      </c>
      <c r="M17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6" s="12" t="inlineStr">
        <is>
          <t>Inspect the price/discount bounds, the draft-then-approve maker-checker (approver ≠ drafter), and the down-payment → contract-liability posting on approval.</t>
        </is>
      </c>
      <c r="O17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6" s="12" t="inlineStr">
        <is>
          <t>Contract register (draft/active); the down-payment JE (1000/2210/2410); installment schedule</t>
        </is>
      </c>
      <c r="Q176" s="18" t="inlineStr">
        <is>
          <t>Implemented</t>
        </is>
      </c>
    </row>
    <row r="177">
      <c r="A177" s="15" t="inlineStr">
        <is>
          <t>RE-03</t>
        </is>
      </c>
      <c r="B177" s="16" t="inlineStr">
        <is>
          <t>Real Estate</t>
        </is>
      </c>
      <c r="C177" s="17" t="inlineStr">
        <is>
          <t>Application</t>
        </is>
      </c>
      <c r="D177" s="16" t="inlineStr">
        <is>
          <t>Installment application</t>
        </is>
      </c>
      <c r="E177" s="16" t="inlineStr">
        <is>
          <t>An installment receipt is misapplied — a paid installment is paid again (double receipt), or an amount other than the scheduled installment is applied, so the buyer's balance and the contract-liability control are wrong.</t>
        </is>
      </c>
      <c r="F177" s="16" t="inlineStr">
        <is>
          <t>Accuracy/Completeness</t>
        </is>
      </c>
      <c r="G17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7" s="17" t="inlineStr">
        <is>
          <t>Prev</t>
        </is>
      </c>
      <c r="I177" s="17" t="inlineStr">
        <is>
          <t>Automated</t>
        </is>
      </c>
      <c r="J177" s="17" t="inlineStr">
        <is>
          <t>Per installment receipt</t>
        </is>
      </c>
      <c r="K177" s="16" t="inlineStr">
        <is>
          <t>AR / Sales</t>
        </is>
      </c>
      <c r="L177" s="17" t="inlineStr">
        <is>
          <t>P13</t>
        </is>
      </c>
      <c r="M17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7" s="16" t="inlineStr">
        <is>
          <t>Inspect the pay-once / exact-amount guards, the cash → contract-liability posting, and the paid/outstanding rollup.</t>
        </is>
      </c>
      <c r="O177" s="16" t="inlineStr">
        <is>
          <t>Re-perform: pay an installment for its exact amount → paid + Dr 1000 / Cr 2410; pay it again → INSTALLMENT_PAID; pay a wrong amount → BAD_AMOUNT; the contract outstanding falls by the paid amount (re-performed by the projects harness).</t>
        </is>
      </c>
      <c r="P177" s="16" t="inlineStr">
        <is>
          <t>Installment schedule (paid/pending); receipt JEs (1000/2410); outstanding rollup</t>
        </is>
      </c>
      <c r="Q177" s="18" t="inlineStr">
        <is>
          <t>Implemented</t>
        </is>
      </c>
    </row>
    <row r="178">
      <c r="A178" s="11" t="inlineStr">
        <is>
          <t>RE-04</t>
        </is>
      </c>
      <c r="B178" s="12" t="inlineStr">
        <is>
          <t>Real Estate</t>
        </is>
      </c>
      <c r="C178" s="13" t="inlineStr">
        <is>
          <t>Application</t>
        </is>
      </c>
      <c r="D178" s="12" t="inlineStr">
        <is>
          <t>Ownership transfer / revenue recognition</t>
        </is>
      </c>
      <c r="E17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8" s="12" t="inlineStr">
        <is>
          <t>Accuracy/Cutoff/Authorization</t>
        </is>
      </c>
      <c r="G17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8" s="13" t="inlineStr">
        <is>
          <t>Prev</t>
        </is>
      </c>
      <c r="I178" s="13" t="inlineStr">
        <is>
          <t>Automated</t>
        </is>
      </c>
      <c r="J178" s="13" t="inlineStr">
        <is>
          <t>Per ownership transfer</t>
        </is>
      </c>
      <c r="K178" s="12" t="inlineStr">
        <is>
          <t>Developer Controller / Legal (segregated on the settled-only gate)</t>
        </is>
      </c>
      <c r="L178" s="13" t="inlineStr">
        <is>
          <t>P13</t>
        </is>
      </c>
      <c r="M17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8" s="12" t="inlineStr">
        <is>
          <t>Inspect the settled-only + authorised transfer gate, the deferred-revenue recognition (2410 → 4200), and the unit-cost relief (5800 ← 1200).</t>
        </is>
      </c>
      <c r="O17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8" s="12" t="inlineStr">
        <is>
          <t>Transferred contracts + the revenue-recognition JE (2410/4200/5800/1200)</t>
        </is>
      </c>
      <c r="Q178" s="18" t="inlineStr">
        <is>
          <t>Implemented</t>
        </is>
      </c>
    </row>
    <row r="179">
      <c r="A179" s="15" t="inlineStr">
        <is>
          <t>GL-01</t>
        </is>
      </c>
      <c r="B179" s="16" t="inlineStr">
        <is>
          <t>General Ledger</t>
        </is>
      </c>
      <c r="C179" s="17" t="inlineStr">
        <is>
          <t>Application</t>
        </is>
      </c>
      <c r="D179" s="16" t="inlineStr">
        <is>
          <t>All</t>
        </is>
      </c>
      <c r="E179" s="16" t="inlineStr">
        <is>
          <t>Unbalanced / one-sided journal entries.</t>
        </is>
      </c>
      <c r="F179" s="16" t="inlineStr">
        <is>
          <t>Accuracy</t>
        </is>
      </c>
      <c r="G179" s="16" t="inlineStr">
        <is>
          <t>Double-entry balanced-by-construction — Σdebit=Σcredit enforced; each line single-sided &amp; non-negative.</t>
        </is>
      </c>
      <c r="H179" s="17" t="inlineStr">
        <is>
          <t>Prev</t>
        </is>
      </c>
      <c r="I179" s="17" t="inlineStr">
        <is>
          <t>Automated</t>
        </is>
      </c>
      <c r="J179" s="17" t="inlineStr">
        <is>
          <t>Per JE</t>
        </is>
      </c>
      <c r="K179" s="16" t="inlineStr">
        <is>
          <t>Controller</t>
        </is>
      </c>
      <c r="L179" s="17" t="inlineStr">
        <is>
          <t>P10</t>
        </is>
      </c>
      <c r="M179" s="16" t="inlineStr">
        <is>
          <t>ledger.service.ts (postEntry — UNBALANCED / INVALID_LINE)</t>
        </is>
      </c>
      <c r="N179" s="16" t="inlineStr">
        <is>
          <t>Inspect balance + line invariants.</t>
        </is>
      </c>
      <c r="O179" s="16" t="inlineStr">
        <is>
          <t>Attempt unbalanced JE → rejected.</t>
        </is>
      </c>
      <c r="P179" s="16" t="inlineStr">
        <is>
          <t>Invariant test</t>
        </is>
      </c>
      <c r="Q179" s="18" t="inlineStr">
        <is>
          <t>Implemented</t>
        </is>
      </c>
    </row>
    <row r="180">
      <c r="A180" s="11" t="inlineStr">
        <is>
          <t>GL-02</t>
        </is>
      </c>
      <c r="B180" s="12" t="inlineStr">
        <is>
          <t>General Ledger</t>
        </is>
      </c>
      <c r="C180" s="13" t="inlineStr">
        <is>
          <t>Application</t>
        </is>
      </c>
      <c r="D180" s="12" t="inlineStr">
        <is>
          <t>All</t>
        </is>
      </c>
      <c r="E180" s="12" t="inlineStr">
        <is>
          <t>Postings to a closed period distort reported results.</t>
        </is>
      </c>
      <c r="F180" s="12" t="inlineStr">
        <is>
          <t>Cutoff</t>
        </is>
      </c>
      <c r="G180" s="12" t="inlineStr">
        <is>
          <t>Period-close lockout — postings to a CLOSED fiscal period are rejected (per-tenant calendar).</t>
        </is>
      </c>
      <c r="H180" s="13" t="inlineStr">
        <is>
          <t>Prev</t>
        </is>
      </c>
      <c r="I180" s="13" t="inlineStr">
        <is>
          <t>Automated</t>
        </is>
      </c>
      <c r="J180" s="13" t="inlineStr">
        <is>
          <t>Per JE</t>
        </is>
      </c>
      <c r="K180" s="12" t="inlineStr">
        <is>
          <t>Controller</t>
        </is>
      </c>
      <c r="L180" s="13" t="inlineStr">
        <is>
          <t>P10</t>
        </is>
      </c>
      <c r="M180" s="12" t="inlineStr">
        <is>
          <t>ledger.service.ts (postEntry PERIOD_CLOSED); fiscal_periods</t>
        </is>
      </c>
      <c r="N180" s="12" t="inlineStr">
        <is>
          <t>Inspect close check.</t>
        </is>
      </c>
      <c r="O180" s="12" t="inlineStr">
        <is>
          <t>Post to closed period → rejected; review exceptions.</t>
        </is>
      </c>
      <c r="P180" s="12" t="inlineStr">
        <is>
          <t>Close-lock test</t>
        </is>
      </c>
      <c r="Q180" s="18" t="inlineStr">
        <is>
          <t>Implemented</t>
        </is>
      </c>
    </row>
    <row r="181">
      <c r="A181" s="15" t="inlineStr">
        <is>
          <t>GL-03</t>
        </is>
      </c>
      <c r="B181" s="16" t="inlineStr">
        <is>
          <t>General Ledger</t>
        </is>
      </c>
      <c r="C181" s="17" t="inlineStr">
        <is>
          <t>Application</t>
        </is>
      </c>
      <c r="D181" s="16" t="inlineStr">
        <is>
          <t>Equity</t>
        </is>
      </c>
      <c r="E181" s="16" t="inlineStr">
        <is>
          <t>Unauthorized year-end close / RE roll.</t>
        </is>
      </c>
      <c r="F181" s="16" t="inlineStr">
        <is>
          <t>Cutoff/Authorization</t>
        </is>
      </c>
      <c r="G181" s="16" t="inlineStr">
        <is>
          <t>Year-end close restricted to 'exec'; closing entries roll to retained earnings.</t>
        </is>
      </c>
      <c r="H181" s="17" t="inlineStr">
        <is>
          <t>Prev</t>
        </is>
      </c>
      <c r="I181" s="17" t="inlineStr">
        <is>
          <t>Auto+Manual</t>
        </is>
      </c>
      <c r="J181" s="17" t="inlineStr">
        <is>
          <t>Annual</t>
        </is>
      </c>
      <c r="K181" s="16" t="inlineStr">
        <is>
          <t>CFO / Controller</t>
        </is>
      </c>
      <c r="L181" s="17" t="inlineStr">
        <is>
          <t>P10/P11</t>
        </is>
      </c>
      <c r="M181" s="16" t="inlineStr">
        <is>
          <t>ledger.controller.ts (close-year @Permissions exec); closeYear</t>
        </is>
      </c>
      <c r="N181" s="16" t="inlineStr">
        <is>
          <t>Inspect permission + closing logic.</t>
        </is>
      </c>
      <c r="O181" s="16" t="inlineStr">
        <is>
          <t>Attempt close w/o exec → 403; review annual close.</t>
        </is>
      </c>
      <c r="P181" s="16" t="inlineStr">
        <is>
          <t>Close package</t>
        </is>
      </c>
      <c r="Q181" s="18" t="inlineStr">
        <is>
          <t>Implemented</t>
        </is>
      </c>
    </row>
    <row r="182">
      <c r="A182" s="11" t="inlineStr">
        <is>
          <t>GL-04</t>
        </is>
      </c>
      <c r="B182" s="12" t="inlineStr">
        <is>
          <t>General Ledger</t>
        </is>
      </c>
      <c r="C182" s="13" t="inlineStr">
        <is>
          <t>Application</t>
        </is>
      </c>
      <c r="D182" s="12" t="inlineStr">
        <is>
          <t>All</t>
        </is>
      </c>
      <c r="E182" s="12" t="inlineStr">
        <is>
          <t>Concurrent posting double-books the same source doc.</t>
        </is>
      </c>
      <c r="F182" s="12" t="inlineStr">
        <is>
          <t>Completeness/Accuracy</t>
        </is>
      </c>
      <c r="G182" s="12" t="inlineStr">
        <is>
          <t>Ledger idempotency — UNIQUE (tenant,source,source_ref,ledger) + ON CONFLICT DO NOTHING in postEntry.</t>
        </is>
      </c>
      <c r="H182" s="13" t="inlineStr">
        <is>
          <t>Prev</t>
        </is>
      </c>
      <c r="I182" s="13" t="inlineStr">
        <is>
          <t>Automated</t>
        </is>
      </c>
      <c r="J182" s="13" t="inlineStr">
        <is>
          <t>Per JE</t>
        </is>
      </c>
      <c r="K182" s="12" t="inlineStr">
        <is>
          <t>Eng Lead / Controller</t>
        </is>
      </c>
      <c r="L182" s="13" t="inlineStr">
        <is>
          <t>P10</t>
        </is>
      </c>
      <c r="M182" s="12" t="inlineStr">
        <is>
          <t>schema/ledger.ts (ux_je_idem); ledger.service.ts; migration 0058</t>
        </is>
      </c>
      <c r="N182" s="12" t="inlineStr">
        <is>
          <t>Inspect unique index + conflict handling.</t>
        </is>
      </c>
      <c r="O182" s="12" t="inlineStr">
        <is>
          <t>Concurrent identical post → single entry.</t>
        </is>
      </c>
      <c r="P182" s="12" t="inlineStr">
        <is>
          <t>Dedup test</t>
        </is>
      </c>
      <c r="Q182" s="18" t="inlineStr">
        <is>
          <t>Implemented</t>
        </is>
      </c>
    </row>
    <row r="183">
      <c r="A183" s="15" t="inlineStr">
        <is>
          <t>GL-05</t>
        </is>
      </c>
      <c r="B183" s="16" t="inlineStr">
        <is>
          <t>General Ledger</t>
        </is>
      </c>
      <c r="C183" s="17" t="inlineStr">
        <is>
          <t>Application</t>
        </is>
      </c>
      <c r="D183" s="16" t="inlineStr">
        <is>
          <t>All</t>
        </is>
      </c>
      <c r="E183" s="16" t="inlineStr">
        <is>
          <t>Manual JE posted without independent review (override risk).</t>
        </is>
      </c>
      <c r="F183" s="16" t="inlineStr">
        <is>
          <t>Authorization</t>
        </is>
      </c>
      <c r="G183" s="16" t="inlineStr">
        <is>
          <t>Manual journal-entry maker-checker — preparer ≠ approver before a manual JE posts.</t>
        </is>
      </c>
      <c r="H183" s="17" t="inlineStr">
        <is>
          <t>Prev</t>
        </is>
      </c>
      <c r="I183" s="17" t="inlineStr">
        <is>
          <t>Auto+Manual</t>
        </is>
      </c>
      <c r="J183" s="17" t="inlineStr">
        <is>
          <t>Per manual JE</t>
        </is>
      </c>
      <c r="K183" s="16" t="inlineStr">
        <is>
          <t>Controller</t>
        </is>
      </c>
      <c r="L183" s="17" t="inlineStr">
        <is>
          <t>P10</t>
        </is>
      </c>
      <c r="M183" s="16" t="inlineStr">
        <is>
          <t>ledger.service.ts (postEntry pendingApproval→Draft; approveEntry preparer≠approver; rejectEntry); ledger.controller.ts (gl_post posts / gl_close approves); cutover/compliance.ts (ToE)</t>
        </is>
      </c>
      <c r="N183" s="16" t="inlineStr">
        <is>
          <t>Inspect JE approval routing.</t>
        </is>
      </c>
      <c r="O183" s="16" t="inlineStr">
        <is>
          <t>Sample manual JEs: approver ≠ preparer; Draft excluded from balances until approved (re-performed by the harness).</t>
        </is>
      </c>
      <c r="P183" s="16" t="inlineStr">
        <is>
          <t>JE approvals</t>
        </is>
      </c>
      <c r="Q183" s="18" t="inlineStr">
        <is>
          <t>Implemented</t>
        </is>
      </c>
    </row>
    <row r="184">
      <c r="A184" s="11" t="inlineStr">
        <is>
          <t>GL-06</t>
        </is>
      </c>
      <c r="B184" s="12" t="inlineStr">
        <is>
          <t>General Ledger</t>
        </is>
      </c>
      <c r="C184" s="13" t="inlineStr">
        <is>
          <t>Application</t>
        </is>
      </c>
      <c r="D184" s="12" t="inlineStr">
        <is>
          <t>All</t>
        </is>
      </c>
      <c r="E184" s="12" t="inlineStr">
        <is>
          <t>Operator mis-posts to another tenant's books.</t>
        </is>
      </c>
      <c r="F184" s="12" t="inlineStr">
        <is>
          <t>Validity</t>
        </is>
      </c>
      <c r="G184" s="12" t="inlineStr">
        <is>
          <t>HQ cross-tenant posting gated to Admin (explicit tenant override); others pinned to context (also RLS).</t>
        </is>
      </c>
      <c r="H184" s="13" t="inlineStr">
        <is>
          <t>Prev</t>
        </is>
      </c>
      <c r="I184" s="13" t="inlineStr">
        <is>
          <t>Automated</t>
        </is>
      </c>
      <c r="J184" s="13" t="inlineStr">
        <is>
          <t>Per JE</t>
        </is>
      </c>
      <c r="K184" s="12" t="inlineStr">
        <is>
          <t>Eng Lead</t>
        </is>
      </c>
      <c r="L184" s="13" t="inlineStr">
        <is>
          <t>P10/P11</t>
        </is>
      </c>
      <c r="M184" s="12" t="inlineStr">
        <is>
          <t>ledger.controller.ts (hqTenant)</t>
        </is>
      </c>
      <c r="N184" s="12" t="inlineStr">
        <is>
          <t>Inspect Admin gating of tenant_id.</t>
        </is>
      </c>
      <c r="O184" s="12" t="inlineStr">
        <is>
          <t>Non-Admin tenant override ignored; Admin audited.</t>
        </is>
      </c>
      <c r="P184" s="12" t="inlineStr">
        <is>
          <t>Override test</t>
        </is>
      </c>
      <c r="Q184" s="18" t="inlineStr">
        <is>
          <t>Implemented</t>
        </is>
      </c>
    </row>
    <row r="185">
      <c r="A185" s="15" t="inlineStr">
        <is>
          <t>GL-07</t>
        </is>
      </c>
      <c r="B185" s="16" t="inlineStr">
        <is>
          <t>General Ledger</t>
        </is>
      </c>
      <c r="C185" s="17" t="inlineStr">
        <is>
          <t>Application</t>
        </is>
      </c>
      <c r="D185" s="16" t="inlineStr">
        <is>
          <t>Cash</t>
        </is>
      </c>
      <c r="E185" s="16" t="inlineStr">
        <is>
          <t>Statement of cash flows mis-stated or doesn't tie to the change in cash.</t>
        </is>
      </c>
      <c r="F185" s="16" t="inlineStr">
        <is>
          <t>Accuracy/Completeness</t>
        </is>
      </c>
      <c r="G18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5" s="17" t="inlineStr">
        <is>
          <t>Det</t>
        </is>
      </c>
      <c r="I185" s="17" t="inlineStr">
        <is>
          <t>Automated</t>
        </is>
      </c>
      <c r="J185" s="17" t="inlineStr">
        <is>
          <t>Per period</t>
        </is>
      </c>
      <c r="K185" s="16" t="inlineStr">
        <is>
          <t>Controller</t>
        </is>
      </c>
      <c r="L185" s="17" t="inlineStr">
        <is>
          <t>P10</t>
        </is>
      </c>
      <c r="M185" s="16" t="inlineStr">
        <is>
          <t>ledger.service.ts (cashFlowStatement, cashFlowDirect, cashFlowForecast); ledger.controller.ts (GET cash-flow, cash-flow-direct, cash-flow-forecast); cutover/basics.ts (ToE)</t>
        </is>
      </c>
      <c r="N185" s="16" t="inlineStr">
        <is>
          <t>Inspect SCF derivation + reconciliation flag; inspect direct-method bucketing and forecast projection.</t>
        </is>
      </c>
      <c r="O185" s="16" t="inlineStr">
        <is>
          <t>Run cash-flow over a seeded period — activities tie to the movement in cash; CLOSE excluded; direct method ties to the same operating cash and Δcash; forecast buckets open AR/AP by due week (re-performed by the harness).</t>
        </is>
      </c>
      <c r="P185" s="16" t="inlineStr">
        <is>
          <t>Cash-flow reconciliation; direct-method buckets; forecast schedule</t>
        </is>
      </c>
      <c r="Q185" s="18" t="inlineStr">
        <is>
          <t>Implemented</t>
        </is>
      </c>
    </row>
    <row r="186">
      <c r="A186" s="11" t="inlineStr">
        <is>
          <t>GL-08</t>
        </is>
      </c>
      <c r="B186" s="12" t="inlineStr">
        <is>
          <t>General Ledger</t>
        </is>
      </c>
      <c r="C186" s="13" t="inlineStr">
        <is>
          <t>Application</t>
        </is>
      </c>
      <c r="D186" s="12" t="inlineStr">
        <is>
          <t>All</t>
        </is>
      </c>
      <c r="E186" s="12" t="inlineStr">
        <is>
          <t>Standing/period accruals missed, posted unbalanced, or posted without approval; manual re-keying error.</t>
        </is>
      </c>
      <c r="F186" s="12" t="inlineStr">
        <is>
          <t>Completeness/Accuracy/Authorization</t>
        </is>
      </c>
      <c r="G18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6" s="13" t="inlineStr">
        <is>
          <t>Prev</t>
        </is>
      </c>
      <c r="I186" s="13" t="inlineStr">
        <is>
          <t>Automated</t>
        </is>
      </c>
      <c r="J186" s="13" t="inlineStr">
        <is>
          <t>Per due date / per template</t>
        </is>
      </c>
      <c r="K186" s="12" t="inlineStr">
        <is>
          <t>Controller</t>
        </is>
      </c>
      <c r="L186" s="13" t="inlineStr">
        <is>
          <t>P10</t>
        </is>
      </c>
      <c r="M18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6" s="12" t="inlineStr">
        <is>
          <t>Inspect template balance validation + scheduled posting as Draft + idempotency.</t>
        </is>
      </c>
      <c r="O186" s="12" t="inlineStr">
        <is>
          <t>Unbalanced template → UNBALANCED; due template posts a Draft JE (excluded from TB) into the pending queue; re-run posts nothing; a second user approves → accrual hits the GL (re-performed by the harness).</t>
        </is>
      </c>
      <c r="P186" s="12" t="inlineStr">
        <is>
          <t>Recurring-journal templates; scheduled run log; JE approvals</t>
        </is>
      </c>
      <c r="Q186" s="18" t="inlineStr">
        <is>
          <t>Implemented</t>
        </is>
      </c>
    </row>
    <row r="187">
      <c r="A187" s="15" t="inlineStr">
        <is>
          <t>GL-09</t>
        </is>
      </c>
      <c r="B187" s="16" t="inlineStr">
        <is>
          <t>General Ledger</t>
        </is>
      </c>
      <c r="C187" s="17" t="inlineStr">
        <is>
          <t>Application</t>
        </is>
      </c>
      <c r="D187" s="16" t="inlineStr">
        <is>
          <t>Prepaid expenses; Operating expense</t>
        </is>
      </c>
      <c r="E187" s="16" t="inlineStr">
        <is>
          <t>Prepaid expense not amortized over its term — expense mis-stated, prepaid asset overstated.</t>
        </is>
      </c>
      <c r="F187" s="16" t="inlineStr">
        <is>
          <t>Accuracy/Completeness</t>
        </is>
      </c>
      <c r="G18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7" s="17" t="inlineStr">
        <is>
          <t>Det</t>
        </is>
      </c>
      <c r="I187" s="17" t="inlineStr">
        <is>
          <t>Automated</t>
        </is>
      </c>
      <c r="J187" s="17" t="inlineStr">
        <is>
          <t>Per period / per schedule</t>
        </is>
      </c>
      <c r="K187" s="16" t="inlineStr">
        <is>
          <t>Controller</t>
        </is>
      </c>
      <c r="L187" s="17" t="inlineStr">
        <is>
          <t>P10</t>
        </is>
      </c>
      <c r="M187" s="16" t="inlineStr">
        <is>
          <t>ledger.service.ts (createPrepaid, runDuePrepaid); ledger.controller.ts (gl_post); bi.service.ts (gl_prepaid_amortize); schema/ledger.ts (prepaid_schedules) + migration 0120; cutover/basics.ts (ToE)</t>
        </is>
      </c>
      <c r="N187" s="16" t="inlineStr">
        <is>
          <t>Inspect amortization slice + final-period remainder + idempotency.</t>
        </is>
      </c>
      <c r="O187" s="16" t="inlineStr">
        <is>
          <t>Register a 12-month prepaid; run amortizes 1/12 to expense; re-run posts nothing (re-performed by the harness).</t>
        </is>
      </c>
      <c r="P187" s="16" t="inlineStr">
        <is>
          <t>Prepaid schedules; amortization run log</t>
        </is>
      </c>
      <c r="Q187" s="18" t="inlineStr">
        <is>
          <t>Implemented</t>
        </is>
      </c>
    </row>
    <row r="188">
      <c r="A188" s="11" t="inlineStr">
        <is>
          <t>GL-10</t>
        </is>
      </c>
      <c r="B188" s="12" t="inlineStr">
        <is>
          <t>General Ledger</t>
        </is>
      </c>
      <c r="C188" s="13" t="inlineStr">
        <is>
          <t>Application</t>
        </is>
      </c>
      <c r="D188" s="12" t="inlineStr">
        <is>
          <t>All</t>
        </is>
      </c>
      <c r="E18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8" s="12" t="inlineStr">
        <is>
          <t>Completeness/Accuracy/Presentation</t>
        </is>
      </c>
      <c r="G18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8" s="13" t="inlineStr">
        <is>
          <t>Prev</t>
        </is>
      </c>
      <c r="I188" s="13" t="inlineStr">
        <is>
          <t>Automated</t>
        </is>
      </c>
      <c r="J188" s="13" t="inlineStr">
        <is>
          <t>At company creation / per pack adopt</t>
        </is>
      </c>
      <c r="K188" s="12" t="inlineStr">
        <is>
          <t>Controller</t>
        </is>
      </c>
      <c r="L188" s="13" t="inlineStr">
        <is>
          <t>P10</t>
        </is>
      </c>
      <c r="M18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8" s="12" t="inlineStr">
        <is>
          <t>Inspect the boot subset assertion + signup provisioning + the overlay-is-presentation-only read path.</t>
        </is>
      </c>
      <c r="O18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8" s="12" t="inlineStr">
        <is>
          <t>Industry templates; tenant_accounts overlay; signup provisioning log</t>
        </is>
      </c>
      <c r="Q188" s="18" t="inlineStr">
        <is>
          <t>Implemented</t>
        </is>
      </c>
    </row>
    <row r="189">
      <c r="A189" s="15" t="inlineStr">
        <is>
          <t>GL-11</t>
        </is>
      </c>
      <c r="B189" s="16" t="inlineStr">
        <is>
          <t>General Ledger</t>
        </is>
      </c>
      <c r="C189" s="17" t="inlineStr">
        <is>
          <t>Application</t>
        </is>
      </c>
      <c r="D189" s="16" t="inlineStr">
        <is>
          <t>All</t>
        </is>
      </c>
      <c r="E18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9" s="16" t="inlineStr">
        <is>
          <t>Authorization/Completeness/Accuracy</t>
        </is>
      </c>
      <c r="G18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9" s="17" t="inlineStr">
        <is>
          <t>Prev</t>
        </is>
      </c>
      <c r="I189" s="17" t="inlineStr">
        <is>
          <t>Automated</t>
        </is>
      </c>
      <c r="J189" s="17" t="inlineStr">
        <is>
          <t>Event-driven</t>
        </is>
      </c>
      <c r="K189" s="16" t="inlineStr">
        <is>
          <t>Financial Controller / Platform Admin</t>
        </is>
      </c>
      <c r="L189" s="17" t="inlineStr">
        <is>
          <t>P10</t>
        </is>
      </c>
      <c r="M18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9" s="16" t="inlineStr">
        <is>
          <t>Inspect the Admin/HQ gate on canonical writes (COA_ADMIN_ONLY), the RLS-scoped overlay curation, and the CODE_HAS_POSTINGS / ACCOUNT_HAS_BALANCE / CONTROL_ACCOUNT guards.</t>
        </is>
      </c>
      <c r="O18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9" s="16" t="inlineStr">
        <is>
          <t>CoA change log (audit_log); compliance GL-11 ToE; control-account guard test</t>
        </is>
      </c>
      <c r="Q189" s="18" t="inlineStr">
        <is>
          <t>Implemented</t>
        </is>
      </c>
    </row>
    <row r="190">
      <c r="A190" s="11" t="inlineStr">
        <is>
          <t>GL-12</t>
        </is>
      </c>
      <c r="B190" s="12" t="inlineStr">
        <is>
          <t>General Ledger</t>
        </is>
      </c>
      <c r="C190" s="13" t="inlineStr">
        <is>
          <t>Application</t>
        </is>
      </c>
      <c r="D190" s="12" t="inlineStr">
        <is>
          <t>All</t>
        </is>
      </c>
      <c r="E190" s="12" t="inlineStr">
        <is>
          <t>Account-assignment errors introduced by scattered inline account-code literals in service code; a tenant needing a different account for a given business event has no mechanism to override without a code change.</t>
        </is>
      </c>
      <c r="F190" s="12" t="inlineStr">
        <is>
          <t>Authorization/Accuracy</t>
        </is>
      </c>
      <c r="G19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0" s="13" t="inlineStr">
        <is>
          <t>Prev</t>
        </is>
      </c>
      <c r="I190" s="13" t="inlineStr">
        <is>
          <t>Automated</t>
        </is>
      </c>
      <c r="J190" s="13" t="inlineStr">
        <is>
          <t>Event-driven</t>
        </is>
      </c>
      <c r="K190" s="12" t="inlineStr">
        <is>
          <t>Financial Controller</t>
        </is>
      </c>
      <c r="L190" s="13" t="inlineStr">
        <is>
          <t>P10</t>
        </is>
      </c>
      <c r="M19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0" s="12" t="inlineStr">
        <is>
          <t>Inspect the rule-resolution logic + NO_POSTING_RULE fast-fail + tenant-shadow logic + gl_posting_rules permission gate.</t>
        </is>
      </c>
      <c r="O19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0" s="12" t="inlineStr">
        <is>
          <t>Posting-rule change log; preview dry-run; harness golden snapshot</t>
        </is>
      </c>
      <c r="Q190" s="18" t="inlineStr">
        <is>
          <t>Implemented</t>
        </is>
      </c>
    </row>
    <row r="191">
      <c r="A191" s="15" t="inlineStr">
        <is>
          <t>GL-13</t>
        </is>
      </c>
      <c r="B191" s="16" t="inlineStr">
        <is>
          <t>General Ledger</t>
        </is>
      </c>
      <c r="C191" s="17" t="inlineStr">
        <is>
          <t>Application</t>
        </is>
      </c>
      <c r="D191" s="16" t="inlineStr">
        <is>
          <t>All</t>
        </is>
      </c>
      <c r="E191" s="16" t="inlineStr">
        <is>
          <t>Revenue or expense mis-attributed to the wrong branch / project — per-location P&amp;L is unintelligible or misleading.</t>
        </is>
      </c>
      <c r="F191" s="16" t="inlineStr">
        <is>
          <t>Accuracy/Presentation</t>
        </is>
      </c>
      <c r="G19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1" s="17" t="inlineStr">
        <is>
          <t>Det</t>
        </is>
      </c>
      <c r="I191" s="17" t="inlineStr">
        <is>
          <t>Automated</t>
        </is>
      </c>
      <c r="J191" s="17" t="inlineStr">
        <is>
          <t>Per period</t>
        </is>
      </c>
      <c r="K191" s="16" t="inlineStr">
        <is>
          <t>Controller</t>
        </is>
      </c>
      <c r="L191" s="17" t="inlineStr">
        <is>
          <t>P10</t>
        </is>
      </c>
      <c r="M19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1" s="16" t="inlineStr">
        <is>
          <t>Inspect by-branch query + PostingContext stamping + department RLS.</t>
        </is>
      </c>
      <c r="O191" s="16" t="inlineStr">
        <is>
          <t>TC-GL-13-01/02/03: smoke + two branches + unassigned bucket (re-performed by the basics.ts harness).</t>
        </is>
      </c>
      <c r="P191" s="16" t="inlineStr">
        <is>
          <t>By-branch P&amp;L report; dimension completeness</t>
        </is>
      </c>
      <c r="Q191" s="18" t="inlineStr">
        <is>
          <t>Implemented</t>
        </is>
      </c>
    </row>
    <row r="192">
      <c r="A192" s="11" t="inlineStr">
        <is>
          <t>GL-14</t>
        </is>
      </c>
      <c r="B192" s="12" t="inlineStr">
        <is>
          <t>General Ledger</t>
        </is>
      </c>
      <c r="C192" s="13" t="inlineStr">
        <is>
          <t>Application</t>
        </is>
      </c>
      <c r="D192" s="12" t="inlineStr">
        <is>
          <t>All</t>
        </is>
      </c>
      <c r="E192" s="12" t="inlineStr">
        <is>
          <t>GL control-account balances (AR/AP/INV/FA) drift from the underlying sub-ledger detail without detection — the control account no longer represents the sum of its sub-ledger, masking posting errors, unrecorded items, or fraud.</t>
        </is>
      </c>
      <c r="F192" s="12" t="inlineStr">
        <is>
          <t>Completeness/Accuracy/Valuation</t>
        </is>
      </c>
      <c r="G19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2" s="13" t="inlineStr">
        <is>
          <t>Det</t>
        </is>
      </c>
      <c r="I192" s="13" t="inlineStr">
        <is>
          <t>Automated</t>
        </is>
      </c>
      <c r="J192" s="13" t="inlineStr">
        <is>
          <t>Monthly</t>
        </is>
      </c>
      <c r="K192" s="12" t="inlineStr">
        <is>
          <t>Financial Controller</t>
        </is>
      </c>
      <c r="L192" s="13" t="inlineStr">
        <is>
          <t>P10</t>
        </is>
      </c>
      <c r="M19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2" s="12" t="inlineStr">
        <is>
          <t>Inspect the GL-vs-sub-ledger balance computation + variance/status + SELF_CERTIFY maker-checker gate + gl_close certify permission.</t>
        </is>
      </c>
      <c r="O192" s="12" t="inlineStr">
        <is>
          <t>TC-GL-14-01: run AR tie-out → balances + Matched/Variance; TC-GL-14-02: self-certify by the runner → SELF_CERTIFY (400); TC-GL-14-03: certify by a different gl_close user → Certified (re-performed by the basics.ts harness).</t>
        </is>
      </c>
      <c r="P192" s="12" t="inlineStr">
        <is>
          <t>Tie-out run log (subledger_tieout_runs) with variance + certification trail; monthly reconciliation sign-off</t>
        </is>
      </c>
      <c r="Q192" s="18" t="inlineStr">
        <is>
          <t>Implemented</t>
        </is>
      </c>
    </row>
    <row r="193">
      <c r="A193" s="15" t="inlineStr">
        <is>
          <t>GL-15</t>
        </is>
      </c>
      <c r="B193" s="16" t="inlineStr">
        <is>
          <t>General Ledger</t>
        </is>
      </c>
      <c r="C193" s="17" t="inlineStr">
        <is>
          <t>Application</t>
        </is>
      </c>
      <c r="D193" s="16" t="inlineStr">
        <is>
          <t>All</t>
        </is>
      </c>
      <c r="E19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3" s="16" t="inlineStr">
        <is>
          <t>Completeness/Accuracy/Cutoff</t>
        </is>
      </c>
      <c r="G19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3" s="17" t="inlineStr">
        <is>
          <t>Prev</t>
        </is>
      </c>
      <c r="I193" s="17" t="inlineStr">
        <is>
          <t>Automated</t>
        </is>
      </c>
      <c r="J193" s="17" t="inlineStr">
        <is>
          <t>Monthly</t>
        </is>
      </c>
      <c r="K193" s="16" t="inlineStr">
        <is>
          <t>Financial Controller</t>
        </is>
      </c>
      <c r="L193" s="17" t="inlineStr">
        <is>
          <t>P10</t>
        </is>
      </c>
      <c r="M19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3" s="16" t="inlineStr">
        <is>
          <t>Inspect the seeded checklist + ReadyToLock gating + STEPS_INCOMPLETE lock rejection + PERIOD_LOCKED hard gate in postEntry (incl. the CLOSE exemption).</t>
        </is>
      </c>
      <c r="O193" s="16" t="inlineStr">
        <is>
          <t>TC-GL-15-01: start close seeds ≥4 steps (InProgress); TC-GL-15-02: lock before steps done → STEPS_INCOMPLETE (400); TC-GL-15-03: post into locked period → PERIOD_LOCKED (400) (re-performed by the basics.ts harness).</t>
        </is>
      </c>
      <c r="P193" s="16" t="inlineStr">
        <is>
          <t>close_runs / close_run_steps with completion trail; fiscal_periods.status=Locked; monthly close sign-off</t>
        </is>
      </c>
      <c r="Q193" s="18" t="inlineStr">
        <is>
          <t>Implemented</t>
        </is>
      </c>
    </row>
    <row r="194">
      <c r="A194" s="11" t="inlineStr">
        <is>
          <t>GL-16</t>
        </is>
      </c>
      <c r="B194" s="12" t="inlineStr">
        <is>
          <t>General Ledger</t>
        </is>
      </c>
      <c r="C194" s="13" t="inlineStr">
        <is>
          <t>Application</t>
        </is>
      </c>
      <c r="D194" s="12" t="inlineStr">
        <is>
          <t>All</t>
        </is>
      </c>
      <c r="E194" s="12" t="inlineStr">
        <is>
          <t>One person both performs the close and locks the period, defeating segregation of duties — a preparer could conceal a misstatement by closing over their own work without independent review.</t>
        </is>
      </c>
      <c r="F194" s="12" t="inlineStr">
        <is>
          <t>Authorization/Segregation of Duties</t>
        </is>
      </c>
      <c r="G19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4" s="13" t="inlineStr">
        <is>
          <t>Prev</t>
        </is>
      </c>
      <c r="I194" s="13" t="inlineStr">
        <is>
          <t>Automated</t>
        </is>
      </c>
      <c r="J194" s="13" t="inlineStr">
        <is>
          <t>Monthly</t>
        </is>
      </c>
      <c r="K194" s="12" t="inlineStr">
        <is>
          <t>Financial Controller</t>
        </is>
      </c>
      <c r="L194" s="13" t="inlineStr">
        <is>
          <t>P10</t>
        </is>
      </c>
      <c r="M19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4" s="12" t="inlineStr">
        <is>
          <t>Inspect the SELF_LOCK gate (startedBy ≠ lockedBy) + the started_by/locked_by/locked_at evidence trail.</t>
        </is>
      </c>
      <c r="O194" s="12" t="inlineStr">
        <is>
          <t>TC-GL-16-01: self-lock by the starter → SELF_LOCK (400); TC-GL-16-02: lock by a different gl_close user → Locked, locked_by recorded (re-performed by the basics.ts harness).</t>
        </is>
      </c>
      <c r="P194" s="12" t="inlineStr">
        <is>
          <t>close_runs.started_by / locked_by / locked_at SoD trail; monthly close sign-off</t>
        </is>
      </c>
      <c r="Q194" s="18" t="inlineStr">
        <is>
          <t>Implemented</t>
        </is>
      </c>
    </row>
    <row r="195">
      <c r="A195" s="15" t="inlineStr">
        <is>
          <t>GL-17</t>
        </is>
      </c>
      <c r="B195" s="16" t="inlineStr">
        <is>
          <t>General Ledger</t>
        </is>
      </c>
      <c r="C195" s="17" t="inlineStr">
        <is>
          <t>Application</t>
        </is>
      </c>
      <c r="D195" s="16" t="inlineStr">
        <is>
          <t>All</t>
        </is>
      </c>
      <c r="E19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5" s="16" t="inlineStr">
        <is>
          <t>Completeness/Accuracy/Authorization</t>
        </is>
      </c>
      <c r="G19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5" s="17" t="inlineStr">
        <is>
          <t>Prev</t>
        </is>
      </c>
      <c r="I195" s="17" t="inlineStr">
        <is>
          <t>Automated</t>
        </is>
      </c>
      <c r="J195" s="17" t="inlineStr">
        <is>
          <t>Per entry / continuous</t>
        </is>
      </c>
      <c r="K195" s="16" t="inlineStr">
        <is>
          <t>Financial Controller</t>
        </is>
      </c>
      <c r="L195" s="17" t="inlineStr">
        <is>
          <t>P10</t>
        </is>
      </c>
      <c r="M19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5" s="16" t="inlineStr">
        <is>
          <t>Inspect the DB immutability trigger + the app GL_IMMUTABLE guard + the reversal contra-posting (swapped Dr/Cr, reversal_of, is_reversed) + the gl_audit_log trail (POST/APPROVE/REVERSE/MUTATE_BLOCKED).</t>
        </is>
      </c>
      <c r="O19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5" s="16" t="inlineStr">
        <is>
          <t>gl_audit_log trail (POST/APPROVE/REVERSE/MUTATE_BLOCKED); reversal entries with reversal_of linkage; posted-entry immutability</t>
        </is>
      </c>
      <c r="Q195" s="18" t="inlineStr">
        <is>
          <t>Implemented</t>
        </is>
      </c>
    </row>
    <row r="196">
      <c r="A196" s="11" t="inlineStr">
        <is>
          <t>GL-18</t>
        </is>
      </c>
      <c r="B196" s="12" t="inlineStr">
        <is>
          <t>General Ledger</t>
        </is>
      </c>
      <c r="C196" s="13" t="inlineStr">
        <is>
          <t>Application</t>
        </is>
      </c>
      <c r="D196" s="12" t="inlineStr">
        <is>
          <t>Accounts Receivable (1100); Accounts Payable (2000); FX Gain/Loss (5400)</t>
        </is>
      </c>
      <c r="E19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6" s="12" t="inlineStr">
        <is>
          <t>Accuracy/Valuation/Authorization/Segregation of Duties</t>
        </is>
      </c>
      <c r="G19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6" s="13" t="inlineStr">
        <is>
          <t>Prev</t>
        </is>
      </c>
      <c r="I196" s="13" t="inlineStr">
        <is>
          <t>Automated</t>
        </is>
      </c>
      <c r="J196" s="13" t="inlineStr">
        <is>
          <t>Monthly / period-end</t>
        </is>
      </c>
      <c r="K196" s="12" t="inlineStr">
        <is>
          <t>Financial Controller</t>
        </is>
      </c>
      <c r="L196" s="13" t="inlineStr">
        <is>
          <t>P10</t>
        </is>
      </c>
      <c r="M19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6" s="12" t="inlineStr">
        <is>
          <t>Inspect the run→post lifecycle, the rate resolution (explicit/approved-only/MISSING_RATE), the SELF_POST maker-checker, and the 5400/1100/2000 posting through the period-lock gate.</t>
        </is>
      </c>
      <c r="O196" s="12" t="inlineStr">
        <is>
          <t>TC-GL-18-01: run on an open foreign AR+AP → net unrealized gain/loss with per-doc detail (Open); TC-GL-18-02: runner self-post → SELF_POST (403), a different user posts → 5400 movement, re-post → ALREADY_POSTED (400) (re-performed by the basics.ts harness).</t>
        </is>
      </c>
      <c r="P196" s="12" t="inlineStr">
        <is>
          <t>fx_reval_runs register (Open→Posted, runner/poster); the FXREVAL-RUN JE to 5400; period-end reval sign-off</t>
        </is>
      </c>
      <c r="Q196" s="18" t="inlineStr">
        <is>
          <t>Implemented</t>
        </is>
      </c>
    </row>
    <row r="197">
      <c r="A197" s="15" t="inlineStr">
        <is>
          <t>GL-19</t>
        </is>
      </c>
      <c r="B197" s="16" t="inlineStr">
        <is>
          <t>General Ledger</t>
        </is>
      </c>
      <c r="C197" s="17" t="inlineStr">
        <is>
          <t>Detective</t>
        </is>
      </c>
      <c r="D197" s="16" t="inlineStr">
        <is>
          <t>All</t>
        </is>
      </c>
      <c r="E19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7" s="16" t="inlineStr">
        <is>
          <t>Completeness/Accuracy</t>
        </is>
      </c>
      <c r="G19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7" s="17" t="inlineStr">
        <is>
          <t>Det</t>
        </is>
      </c>
      <c r="I197" s="17" t="inlineStr">
        <is>
          <t>Automated</t>
        </is>
      </c>
      <c r="J197" s="17" t="inlineStr">
        <is>
          <t>Pre-lock / period-end</t>
        </is>
      </c>
      <c r="K197" s="16" t="inlineStr">
        <is>
          <t>Financial Controller</t>
        </is>
      </c>
      <c r="L197" s="17" t="inlineStr">
        <is>
          <t>P10</t>
        </is>
      </c>
      <c r="M19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7" s="16" t="inlineStr">
        <is>
          <t>Inspect the four readiness checks (unposted_drafts, period_balanced, unbalanced_entries, suspense_clearing) and that a draft in the period sets ready=false with the unposted_drafts blocker.</t>
        </is>
      </c>
      <c r="O197" s="16" t="inlineStr">
        <is>
          <t>TC-GL-19-CLOSE-01: validate a clean past period → ready=true, no blockers, drafts/balance checks ok; TC-GL-19-CLOSE-02: a manual JE (posts as Draft, GL-05) in the period → ready=false, unposted_drafts blocker count ≥ 1 (re-performed by the basics.ts harness).</t>
        </is>
      </c>
      <c r="P197" s="16" t="inlineStr">
        <is>
          <t>close-validate readiness report (ready/blockers/warnings + per-check detail)</t>
        </is>
      </c>
      <c r="Q197" s="18" t="inlineStr">
        <is>
          <t>Implemented</t>
        </is>
      </c>
    </row>
    <row r="198">
      <c r="A198" s="11" t="inlineStr">
        <is>
          <t>GL-20</t>
        </is>
      </c>
      <c r="B198" s="12" t="inlineStr">
        <is>
          <t>General Ledger</t>
        </is>
      </c>
      <c r="C198" s="13" t="inlineStr">
        <is>
          <t>Detective</t>
        </is>
      </c>
      <c r="D198" s="12" t="inlineStr">
        <is>
          <t>All</t>
        </is>
      </c>
      <c r="E19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8" s="12" t="inlineStr">
        <is>
          <t>Completeness/Accuracy</t>
        </is>
      </c>
      <c r="G19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8" s="13" t="inlineStr">
        <is>
          <t>Det</t>
        </is>
      </c>
      <c r="I198" s="13" t="inlineStr">
        <is>
          <t>Automated</t>
        </is>
      </c>
      <c r="J198" s="13" t="inlineStr">
        <is>
          <t>Per close</t>
        </is>
      </c>
      <c r="K198" s="12" t="inlineStr">
        <is>
          <t>Financial Controller</t>
        </is>
      </c>
      <c r="L198" s="13" t="inlineStr">
        <is>
          <t>P17</t>
        </is>
      </c>
      <c r="M198" s="12" t="inlineStr">
        <is>
          <t>ledger.service.ts bumpPeriodBalances (transactional maintenance) + trialBalance (snapshot read); close.service.ts validate gl_snapshot_drift; drizzle/0219_gl_period_balances.sql (table + unique key + backfill); cutover/basics.ts TC-GL-20 (ToE)</t>
        </is>
      </c>
      <c r="N198" s="12" t="inlineStr">
        <is>
          <t>Inspect that the snapshot write shares the posting transaction and that validate compares snapshot vs raw per account.</t>
        </is>
      </c>
      <c r="O198" s="12" t="inlineStr">
        <is>
          <t>Re-perform: clean period → gl_snapshot_drift ok; INSERT a bogus snapshot row → validate ready=false with the account named; rebuild → clear (basics harness TC-GL-20).</t>
        </is>
      </c>
      <c r="P198" s="12" t="inlineStr">
        <is>
          <t>Snapshot-reconciliation ToE (basics)</t>
        </is>
      </c>
      <c r="Q198" s="18" t="inlineStr">
        <is>
          <t>Implemented</t>
        </is>
      </c>
    </row>
    <row r="199">
      <c r="A199" s="15" t="inlineStr">
        <is>
          <t>GL-21</t>
        </is>
      </c>
      <c r="B199" s="16" t="inlineStr">
        <is>
          <t>General Ledger</t>
        </is>
      </c>
      <c r="C199" s="17" t="inlineStr">
        <is>
          <t>Application</t>
        </is>
      </c>
      <c r="D199" s="16" t="inlineStr">
        <is>
          <t>Inventory; COGS; Revenue</t>
        </is>
      </c>
      <c r="E19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9" s="16" t="inlineStr">
        <is>
          <t>Accuracy/Completeness/Valuation</t>
        </is>
      </c>
      <c r="G19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9" s="17" t="inlineStr">
        <is>
          <t>Prev</t>
        </is>
      </c>
      <c r="I199" s="17" t="inlineStr">
        <is>
          <t>Automated</t>
        </is>
      </c>
      <c r="J199" s="17" t="inlineStr">
        <is>
          <t>Event-driven / per item</t>
        </is>
      </c>
      <c r="K199" s="16" t="inlineStr">
        <is>
          <t>Financial Controller</t>
        </is>
      </c>
      <c r="L199" s="17" t="inlineStr">
        <is>
          <t>P10</t>
        </is>
      </c>
      <c r="M19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9" s="16" t="inlineStr">
        <is>
          <t>Inspect the item→category→literal precedence, the OFF-by-default parity, the postable-account fail-closed guard, and that reconcile sums the full inventory-account set.</t>
        </is>
      </c>
      <c r="O19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9" s="16" t="inlineStr">
        <is>
          <t>Feature-flag state + posting-rule/override config; harness ToE (basics GL-21)</t>
        </is>
      </c>
      <c r="Q199" s="18" t="inlineStr">
        <is>
          <t>Implemented</t>
        </is>
      </c>
    </row>
    <row r="200">
      <c r="A200" s="11" t="inlineStr">
        <is>
          <t>GL-22</t>
        </is>
      </c>
      <c r="B200" s="12" t="inlineStr">
        <is>
          <t>General Ledger</t>
        </is>
      </c>
      <c r="C200" s="13" t="inlineStr">
        <is>
          <t>Detective</t>
        </is>
      </c>
      <c r="D200" s="12" t="inlineStr">
        <is>
          <t>All</t>
        </is>
      </c>
      <c r="E20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0" s="12" t="inlineStr">
        <is>
          <t>Completeness/Accuracy</t>
        </is>
      </c>
      <c r="G20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0" s="13" t="inlineStr">
        <is>
          <t>Det</t>
        </is>
      </c>
      <c r="I200" s="13" t="inlineStr">
        <is>
          <t>Hybrid</t>
        </is>
      </c>
      <c r="J200" s="13" t="inlineStr">
        <is>
          <t>Per period-close</t>
        </is>
      </c>
      <c r="K200" s="12" t="inlineStr">
        <is>
          <t>Financial Controller</t>
        </is>
      </c>
      <c r="L200" s="13" t="inlineStr">
        <is>
          <t>P16</t>
        </is>
      </c>
      <c r="M20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0" s="12" t="inlineStr">
        <is>
          <t>Inspect the cockpit: the tie-out rows (sub-ledger vs GL control + variance), the readiness checks, the pending-approval ageing, and that the overall RAG turns red on any break.</t>
        </is>
      </c>
      <c r="O20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0" s="12" t="inlineStr">
        <is>
          <t>Close-readiness cockpit (finance/metrics/close/status); harness ToE (finance-kpi)</t>
        </is>
      </c>
      <c r="Q200" s="18" t="inlineStr">
        <is>
          <t>Implemented</t>
        </is>
      </c>
    </row>
    <row r="201">
      <c r="A201" s="15" t="inlineStr">
        <is>
          <t>GL-23</t>
        </is>
      </c>
      <c r="B201" s="16" t="inlineStr">
        <is>
          <t>General Ledger</t>
        </is>
      </c>
      <c r="C201" s="17" t="inlineStr">
        <is>
          <t>Application</t>
        </is>
      </c>
      <c r="D201" s="16" t="inlineStr">
        <is>
          <t>Operating expense; Overhead; Cost centers</t>
        </is>
      </c>
      <c r="E20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1" s="16" t="inlineStr">
        <is>
          <t>Accuracy/Completeness/Presentation</t>
        </is>
      </c>
      <c r="G20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1" s="17" t="inlineStr">
        <is>
          <t>Prev</t>
        </is>
      </c>
      <c r="I201" s="17" t="inlineStr">
        <is>
          <t>Automated</t>
        </is>
      </c>
      <c r="J201" s="17" t="inlineStr">
        <is>
          <t>Per due date / per cycle</t>
        </is>
      </c>
      <c r="K201" s="16" t="inlineStr">
        <is>
          <t>Controller</t>
        </is>
      </c>
      <c r="L201" s="17" t="inlineStr">
        <is>
          <t>P10</t>
        </is>
      </c>
      <c r="M20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1" s="16" t="inlineStr">
        <is>
          <t>Inspect the up-front validation, the exact proportional split (remainder to last target → balanced JE), the scheduled posting as Draft, and the per-period idempotency.</t>
        </is>
      </c>
      <c r="O20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1" s="16" t="inlineStr">
        <is>
          <t>Allocation-cycle definitions; scheduled run log; JE approvals</t>
        </is>
      </c>
      <c r="Q201" s="18" t="inlineStr">
        <is>
          <t>Implemented</t>
        </is>
      </c>
    </row>
    <row r="202">
      <c r="A202" s="11" t="inlineStr">
        <is>
          <t>GL-24</t>
        </is>
      </c>
      <c r="B202" s="12" t="inlineStr">
        <is>
          <t>General Ledger</t>
        </is>
      </c>
      <c r="C202" s="13" t="inlineStr">
        <is>
          <t>Application</t>
        </is>
      </c>
      <c r="D202" s="12" t="inlineStr">
        <is>
          <t>All</t>
        </is>
      </c>
      <c r="E20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2" s="12" t="inlineStr">
        <is>
          <t>Authorization/Accuracy/Completeness</t>
        </is>
      </c>
      <c r="G20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2" s="13" t="inlineStr">
        <is>
          <t>Prev</t>
        </is>
      </c>
      <c r="I202" s="13" t="inlineStr">
        <is>
          <t>Automated</t>
        </is>
      </c>
      <c r="J202" s="13" t="inlineStr">
        <is>
          <t>Event-driven / per rule change</t>
        </is>
      </c>
      <c r="K202" s="12" t="inlineStr">
        <is>
          <t>Financial Controller</t>
        </is>
      </c>
      <c r="L202" s="13" t="inlineStr">
        <is>
          <t>P10</t>
        </is>
      </c>
      <c r="M20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2" s="12" t="inlineStr">
        <is>
          <t>Inspect the registry tiers, the fail-closed validation set, the PendingApproval→distinct-approver flow, the Approved-only resolver + cache bust, and the audit trail.</t>
        </is>
      </c>
      <c r="O20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2" s="12" t="inlineStr">
        <is>
          <t>posting_rule_audit trail; compliance + payroll harness ToE</t>
        </is>
      </c>
      <c r="Q202" s="18" t="inlineStr">
        <is>
          <t>Implemented</t>
        </is>
      </c>
    </row>
    <row r="203">
      <c r="A203" s="15" t="inlineStr">
        <is>
          <t>GL-25</t>
        </is>
      </c>
      <c r="B203" s="16" t="inlineStr">
        <is>
          <t>General Ledger</t>
        </is>
      </c>
      <c r="C203" s="17" t="inlineStr">
        <is>
          <t>Detective</t>
        </is>
      </c>
      <c r="D203" s="16" t="inlineStr">
        <is>
          <t>All</t>
        </is>
      </c>
      <c r="E20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3" s="16" t="inlineStr">
        <is>
          <t>Completeness/Accuracy/Presentation</t>
        </is>
      </c>
      <c r="G20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3" s="17" t="inlineStr">
        <is>
          <t>Det</t>
        </is>
      </c>
      <c r="I203" s="17" t="inlineStr">
        <is>
          <t>Automated</t>
        </is>
      </c>
      <c r="J203" s="17" t="inlineStr">
        <is>
          <t>Per period-close</t>
        </is>
      </c>
      <c r="K203" s="16" t="inlineStr">
        <is>
          <t>Financial Controller</t>
        </is>
      </c>
      <c r="L203" s="17" t="inlineStr">
        <is>
          <t>P10</t>
        </is>
      </c>
      <c r="M20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3" s="16" t="inlineStr">
        <is>
          <t>Inspect the abs+pct breach logic, the forced-explanation gate before sign-off, the maker-checker reviewer≠preparer rule, and that the analysis posts nothing to the GL.</t>
        </is>
      </c>
      <c r="O20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3" s="16" t="inlineStr">
        <is>
          <t>flux_analyses / flux_lines with per-line explanations + reviewer sign-off; flux-analysis harness ToE</t>
        </is>
      </c>
      <c r="Q203" s="18" t="inlineStr">
        <is>
          <t>Implemented</t>
        </is>
      </c>
    </row>
    <row r="204">
      <c r="A204" s="11" t="inlineStr">
        <is>
          <t>GL-26</t>
        </is>
      </c>
      <c r="B204" s="12" t="inlineStr">
        <is>
          <t>General Ledger</t>
        </is>
      </c>
      <c r="C204" s="13" t="inlineStr">
        <is>
          <t>Detective</t>
        </is>
      </c>
      <c r="D204" s="12" t="inlineStr">
        <is>
          <t>All</t>
        </is>
      </c>
      <c r="E20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4" s="12" t="inlineStr">
        <is>
          <t>Completeness/Accuracy/Presentation/Disclosure</t>
        </is>
      </c>
      <c r="G20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4" s="13" t="inlineStr">
        <is>
          <t>Det</t>
        </is>
      </c>
      <c r="I204" s="13" t="inlineStr">
        <is>
          <t>Automated</t>
        </is>
      </c>
      <c r="J204" s="13" t="inlineStr">
        <is>
          <t>Per period-close / reporting package</t>
        </is>
      </c>
      <c r="K204" s="12" t="inlineStr">
        <is>
          <t>Financial Controller / CFO</t>
        </is>
      </c>
      <c r="L204" s="13" t="inlineStr">
        <is>
          <t>P10</t>
        </is>
      </c>
      <c r="M20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4" s="12" t="inlineStr">
        <is>
          <t>Inspect the seeded standard-item set with standard refs/owners, the item complete/NA + support-doc attach, the ITEMS_INCOMPLETE review gate, the SOD_SELF_APPROVAL maker-checker (reviewer ≠ preparer), the Reviewed→Issued release, and the tenant RLS isolation.</t>
        </is>
      </c>
      <c r="O20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4" s="12" t="inlineStr">
        <is>
          <t>disclosure_checklists / disclosure_items with prepared_by/reviewed_by/issued_by sign-off trail + per-item completed_by/support_doc_ref; harness ToE (disclosure-checklist)</t>
        </is>
      </c>
      <c r="Q204" s="18" t="inlineStr">
        <is>
          <t>Implemented</t>
        </is>
      </c>
    </row>
    <row r="205">
      <c r="A205" s="15" t="inlineStr">
        <is>
          <t>GL-27</t>
        </is>
      </c>
      <c r="B205" s="16" t="inlineStr">
        <is>
          <t>General Ledger</t>
        </is>
      </c>
      <c r="C205" s="17" t="inlineStr">
        <is>
          <t>Application</t>
        </is>
      </c>
      <c r="D205" s="16" t="inlineStr">
        <is>
          <t>All</t>
        </is>
      </c>
      <c r="E20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5" s="16" t="inlineStr">
        <is>
          <t>Authorization/Accuracy/Completeness</t>
        </is>
      </c>
      <c r="G20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5" s="17" t="inlineStr">
        <is>
          <t>Prev</t>
        </is>
      </c>
      <c r="I205" s="17" t="inlineStr">
        <is>
          <t>Automated</t>
        </is>
      </c>
      <c r="J205" s="17" t="inlineStr">
        <is>
          <t>Each canonical CoA change</t>
        </is>
      </c>
      <c r="K205" s="16" t="inlineStr">
        <is>
          <t>Platform Admin (HQ) x2 / CFO</t>
        </is>
      </c>
      <c r="L205" s="17" t="inlineStr">
        <is>
          <t>P10</t>
        </is>
      </c>
      <c r="M20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5" s="16" t="inlineStr">
        <is>
          <t>Inspect the fail-closed request-time validation, the PendingApproval→distinct-Admin flow, the AutoApplied single-admin exception rows, and the append-only request trail (payload + before snapshot).</t>
        </is>
      </c>
      <c r="O20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5" s="16" t="inlineStr">
        <is>
          <t>coa_change_requests rows (payload/before/created_by/approved_by/reason); compliance harness + unit ToE</t>
        </is>
      </c>
      <c r="Q205" s="18" t="inlineStr">
        <is>
          <t>Implemented</t>
        </is>
      </c>
    </row>
    <row r="206">
      <c r="A206" s="11" t="inlineStr">
        <is>
          <t>EXP-07</t>
        </is>
      </c>
      <c r="B206" s="12" t="inlineStr">
        <is>
          <t>Expenditure</t>
        </is>
      </c>
      <c r="C206" s="13" t="inlineStr">
        <is>
          <t>Application</t>
        </is>
      </c>
      <c r="D206" s="12" t="inlineStr">
        <is>
          <t>Cash; Operating expense</t>
        </is>
      </c>
      <c r="E206" s="12" t="inlineStr">
        <is>
          <t>Petty-cash / employee advance issued but never accounted for — cash leakage, expense unrecorded.</t>
        </is>
      </c>
      <c r="F206" s="12" t="inlineStr">
        <is>
          <t>Existence/Completeness</t>
        </is>
      </c>
      <c r="G20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6" s="13" t="inlineStr">
        <is>
          <t>Det</t>
        </is>
      </c>
      <c r="I206" s="13" t="inlineStr">
        <is>
          <t>Automated</t>
        </is>
      </c>
      <c r="J206" s="13" t="inlineStr">
        <is>
          <t>Per advance</t>
        </is>
      </c>
      <c r="K206" s="12" t="inlineStr">
        <is>
          <t>AP / Controller</t>
        </is>
      </c>
      <c r="L206" s="13" t="inlineStr">
        <is>
          <t>P10</t>
        </is>
      </c>
      <c r="M206" s="12" t="inlineStr">
        <is>
          <t>finance.service.ts (issueAdvance, settleAdvance reconcile-or-reject, listAdvances outstanding); finance.controller.ts (creditors/exec); schema/finance.ts (employee_advances) + migration 0120; cutover/basics.ts (ToE)</t>
        </is>
      </c>
      <c r="N206" s="12" t="inlineStr">
        <is>
          <t>Inspect issue/settle GL + settlement reconciliation guard.</t>
        </is>
      </c>
      <c r="O206" s="12" t="inlineStr">
        <is>
          <t>Issue an advance (1180 up); settle 700+300 clears 1180; mismatched settle → SETTLE_MISMATCH (re-performed by the harness).</t>
        </is>
      </c>
      <c r="P206" s="12" t="inlineStr">
        <is>
          <t>Advance register; outstanding float</t>
        </is>
      </c>
      <c r="Q206" s="18" t="inlineStr">
        <is>
          <t>Implemented</t>
        </is>
      </c>
    </row>
    <row r="207">
      <c r="A207" s="15" t="inlineStr">
        <is>
          <t>EXP-08</t>
        </is>
      </c>
      <c r="B207" s="16" t="inlineStr">
        <is>
          <t>Expenditure</t>
        </is>
      </c>
      <c r="C207" s="17" t="inlineStr">
        <is>
          <t>Application</t>
        </is>
      </c>
      <c r="D207" s="16" t="inlineStr">
        <is>
          <t>Cash; Operating expense</t>
        </is>
      </c>
      <c r="E207" s="16" t="inlineStr">
        <is>
          <t>Petty-cash disbursed beyond authority / without independent review, or drawn past the fund's limit — cash leakage, unauthorised or unrecorded expense, over-extended float.</t>
        </is>
      </c>
      <c r="F207" s="16" t="inlineStr">
        <is>
          <t>Authorization; Completeness</t>
        </is>
      </c>
      <c r="G20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7" s="17" t="inlineStr">
        <is>
          <t>Prev</t>
        </is>
      </c>
      <c r="I207" s="17" t="inlineStr">
        <is>
          <t>Automated</t>
        </is>
      </c>
      <c r="J207" s="17" t="inlineStr">
        <is>
          <t>Per disbursement</t>
        </is>
      </c>
      <c r="K207" s="16" t="inlineStr">
        <is>
          <t>AP / Controller</t>
        </is>
      </c>
      <c r="L207" s="17" t="inlineStr">
        <is>
          <t>P10</t>
        </is>
      </c>
      <c r="M20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7" s="16" t="inlineStr">
        <is>
          <t>Inspect the float ceiling + the request→approve flow + the approver≠requester check + that the request posts nothing until approval.</t>
        </is>
      </c>
      <c r="O20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7" s="16" t="inlineStr">
        <is>
          <t>Fund register + disbursement approval log + SoD test</t>
        </is>
      </c>
      <c r="Q207" s="18" t="inlineStr">
        <is>
          <t>Implemented</t>
        </is>
      </c>
    </row>
    <row r="208">
      <c r="A208" s="11" t="inlineStr">
        <is>
          <t>EXP-09</t>
        </is>
      </c>
      <c r="B208" s="12" t="inlineStr">
        <is>
          <t>Expenditure</t>
        </is>
      </c>
      <c r="C208" s="13" t="inlineStr">
        <is>
          <t>Application</t>
        </is>
      </c>
      <c r="D208" s="12" t="inlineStr">
        <is>
          <t>Accounts Payable; Cash</t>
        </is>
      </c>
      <c r="E20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8" s="12" t="inlineStr">
        <is>
          <t>Occurrence/Accuracy/Authorization</t>
        </is>
      </c>
      <c r="G20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8" s="13" t="inlineStr">
        <is>
          <t>Prev</t>
        </is>
      </c>
      <c r="I208" s="13" t="inlineStr">
        <is>
          <t>Automated</t>
        </is>
      </c>
      <c r="J208" s="13" t="inlineStr">
        <is>
          <t>Per payment</t>
        </is>
      </c>
      <c r="K208" s="12" t="inlineStr">
        <is>
          <t>AP / Controller</t>
        </is>
      </c>
      <c r="L208" s="13" t="inlineStr">
        <is>
          <t>P10</t>
        </is>
      </c>
      <c r="M208" s="12" t="inlineStr">
        <is>
          <t>finance.service.ts (requestApPayment → matchSvc.assertPayable); match/three-way-match.service.ts (assertPayable fail-open for non-PO, blocks not-payable &amp; not-overridden); finance.controller.ts (ap/transactions/:txnNo/pay); cutover/match.ts (ToE)</t>
        </is>
      </c>
      <c r="N208" s="12" t="inlineStr">
        <is>
          <t>Inspect that the AP-pay request consults assertPayable and that a non-PO bill is exempt while a failed PO invoice is blocked.</t>
        </is>
      </c>
      <c r="O208" s="12" t="inlineStr">
        <is>
          <t>Re-perform: a PO invoice with a qty/price variance over tolerance → pay request MATCH_BLOCKED; an independently-overridden / matched invoice → pay succeeds; a non-PO bill pays unblocked (re-performed by the match harness).</t>
        </is>
      </c>
      <c r="P208" s="12" t="inlineStr">
        <is>
          <t>Blocked-invoice worklist; payment-gate test</t>
        </is>
      </c>
      <c r="Q208" s="18" t="inlineStr">
        <is>
          <t>Implemented</t>
        </is>
      </c>
    </row>
    <row r="209">
      <c r="A209" s="15" t="inlineStr">
        <is>
          <t>EXP-10</t>
        </is>
      </c>
      <c r="B209" s="16" t="inlineStr">
        <is>
          <t>Expenditure</t>
        </is>
      </c>
      <c r="C209" s="17" t="inlineStr">
        <is>
          <t>Application</t>
        </is>
      </c>
      <c r="D209" s="16" t="inlineStr">
        <is>
          <t>Accounts Payable</t>
        </is>
      </c>
      <c r="E209" s="16" t="inlineStr">
        <is>
          <t>A scanned/keyed vendor invoice is booked against the wrong PO (or twice under the same invoice number), or an intake bill bypasses the 3-way match — a mis-mapped or duplicate document becomes a payable and cash is disbursed for it.</t>
        </is>
      </c>
      <c r="F209" s="16" t="inlineStr">
        <is>
          <t>Occurrence/Validity/Accuracy</t>
        </is>
      </c>
      <c r="G20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9" s="17" t="inlineStr">
        <is>
          <t>Prev</t>
        </is>
      </c>
      <c r="I209" s="17" t="inlineStr">
        <is>
          <t>Automated</t>
        </is>
      </c>
      <c r="J209" s="17" t="inlineStr">
        <is>
          <t>Per invoice</t>
        </is>
      </c>
      <c r="K209" s="16" t="inlineStr">
        <is>
          <t>AP / Procurement</t>
        </is>
      </c>
      <c r="L209" s="17" t="inlineStr">
        <is>
          <t>P17</t>
        </is>
      </c>
      <c r="M20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9" s="16" t="inlineStr">
        <is>
          <t>Inspect the mapper's ambiguity/duplicate handling and that posting always runs the match for a PO-mapped intake.</t>
        </is>
      </c>
      <c r="O20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9" s="16" t="inlineStr">
        <is>
          <t>Intake worklist; duplicate/cumulative guard tests</t>
        </is>
      </c>
      <c r="Q209" s="18" t="inlineStr">
        <is>
          <t>Implemented</t>
        </is>
      </c>
    </row>
    <row r="210">
      <c r="A210" s="11" t="inlineStr">
        <is>
          <t>EXP-11</t>
        </is>
      </c>
      <c r="B210" s="12" t="inlineStr">
        <is>
          <t>Expenditure</t>
        </is>
      </c>
      <c r="C210" s="13" t="inlineStr">
        <is>
          <t>Application</t>
        </is>
      </c>
      <c r="D210" s="12" t="inlineStr">
        <is>
          <t>Accounts Payable; Vendor Master</t>
        </is>
      </c>
      <c r="E21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0" s="12" t="inlineStr">
        <is>
          <t>Authorization</t>
        </is>
      </c>
      <c r="G21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0" s="13" t="inlineStr">
        <is>
          <t>Prev</t>
        </is>
      </c>
      <c r="I210" s="13" t="inlineStr">
        <is>
          <t>Auto+Manual</t>
        </is>
      </c>
      <c r="J210" s="13" t="inlineStr">
        <is>
          <t>Per change</t>
        </is>
      </c>
      <c r="K210" s="12" t="inlineStr">
        <is>
          <t>Procurement / Controller</t>
        </is>
      </c>
      <c r="L210" s="13" t="inlineStr">
        <is>
          <t>P10</t>
        </is>
      </c>
      <c r="M21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0" s="12" t="inlineStr">
        <is>
          <t>Inspect the stage→approve routing + the approver≠requester guard + that vendors only changes on approval.</t>
        </is>
      </c>
      <c r="O21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0" s="12" t="inlineStr">
        <is>
          <t>Vendor bank-change approval log</t>
        </is>
      </c>
      <c r="Q210" s="18" t="inlineStr">
        <is>
          <t>Implemented</t>
        </is>
      </c>
    </row>
    <row r="211">
      <c r="A211" s="15" t="inlineStr">
        <is>
          <t>MDM-01</t>
        </is>
      </c>
      <c r="B211" s="16" t="inlineStr">
        <is>
          <t>Expenditure</t>
        </is>
      </c>
      <c r="C211" s="17" t="inlineStr">
        <is>
          <t>Application</t>
        </is>
      </c>
      <c r="D211" s="16" t="inlineStr">
        <is>
          <t>Vendor Master; Accounts Payable; Cash</t>
        </is>
      </c>
      <c r="E21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1" s="16" t="inlineStr">
        <is>
          <t>Authorization/Segregation of Duties</t>
        </is>
      </c>
      <c r="G21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1" s="17" t="inlineStr">
        <is>
          <t>Prev</t>
        </is>
      </c>
      <c r="I211" s="17" t="inlineStr">
        <is>
          <t>Automated</t>
        </is>
      </c>
      <c r="J211" s="17" t="inlineStr">
        <is>
          <t>Per change</t>
        </is>
      </c>
      <c r="K211" s="16" t="inlineStr">
        <is>
          <t>MasterDataAdmin / Controller (segregated)</t>
        </is>
      </c>
      <c r="L211" s="17" t="inlineStr">
        <is>
          <t>P10</t>
        </is>
      </c>
      <c r="M21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1" s="16" t="inlineStr">
        <is>
          <t>Inspect the stage→approve routing, the requester≠approver self-approval block, that the vendor master is written ONLY on approval, that reject/pending leave it unchanged, and that a non-sensitive field is refused by the maker-checker (still edits directly).</t>
        </is>
      </c>
      <c r="O21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1" s="16" t="inlineStr">
        <is>
          <t>Master-data change-request queue (pending/approved/rejected) + before/after; SOD_SELF_APPROVAL / FIELD_NOT_SENSITIVE negatives</t>
        </is>
      </c>
      <c r="Q211" s="18" t="inlineStr">
        <is>
          <t>Implemented</t>
        </is>
      </c>
    </row>
    <row r="212">
      <c r="A212" s="11" t="inlineStr">
        <is>
          <t>EXP-12</t>
        </is>
      </c>
      <c r="B212" s="12" t="inlineStr">
        <is>
          <t>Expenditure</t>
        </is>
      </c>
      <c r="C212" s="13" t="inlineStr">
        <is>
          <t>Application</t>
        </is>
      </c>
      <c r="D212" s="12" t="inlineStr">
        <is>
          <t>Inventory; Accounts Payable</t>
        </is>
      </c>
      <c r="E21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2" s="12" t="inlineStr">
        <is>
          <t>Existence/Accuracy/Completeness</t>
        </is>
      </c>
      <c r="G21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2" s="13" t="inlineStr">
        <is>
          <t>Prev</t>
        </is>
      </c>
      <c r="I212" s="13" t="inlineStr">
        <is>
          <t>Automated</t>
        </is>
      </c>
      <c r="J212" s="13" t="inlineStr">
        <is>
          <t>Per receipt</t>
        </is>
      </c>
      <c r="K212" s="12" t="inlineStr">
        <is>
          <t>Warehouse / Procurement</t>
        </is>
      </c>
      <c r="L212" s="13" t="inlineStr">
        <is>
          <t>P17</t>
        </is>
      </c>
      <c r="M21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2" s="12" t="inlineStr">
        <is>
          <t>Inspect the over-receipt gate (aggregate per item, weight-UoM tolerance), the claim-window check against the GR timestamp, the close-short line binding, and the tolerance-change permission.</t>
        </is>
      </c>
      <c r="O21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2" s="12" t="inlineStr">
        <is>
          <t>GR summary (ordered vs received); OVER_RECEIPT / CLAIM_WINDOW_CLOSED / PO_LINE_CLOSED negatives; claim photo attachment</t>
        </is>
      </c>
      <c r="Q212" s="18" t="inlineStr">
        <is>
          <t>Implemented</t>
        </is>
      </c>
    </row>
    <row r="213">
      <c r="A213" s="15" t="inlineStr">
        <is>
          <t>QC-04</t>
        </is>
      </c>
      <c r="B213" s="16" t="inlineStr">
        <is>
          <t>Expenditure</t>
        </is>
      </c>
      <c r="C213" s="17" t="inlineStr">
        <is>
          <t>Application</t>
        </is>
      </c>
      <c r="D213" s="16" t="inlineStr">
        <is>
          <t>Inventory; Vendor performance / supplier quality</t>
        </is>
      </c>
      <c r="E21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3" s="16" t="inlineStr">
        <is>
          <t>Accuracy/Authorization/Segregation of Duties</t>
        </is>
      </c>
      <c r="G21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3" s="17" t="inlineStr">
        <is>
          <t>Prev/Det</t>
        </is>
      </c>
      <c r="I213" s="17" t="inlineStr">
        <is>
          <t>Automated</t>
        </is>
      </c>
      <c r="J213" s="17" t="inlineStr">
        <is>
          <t>Per SCAR / continuous</t>
        </is>
      </c>
      <c r="K213" s="16" t="inlineStr">
        <is>
          <t>Quality Manager / Supplier-Quality Reviewer (segregated)</t>
        </is>
      </c>
      <c r="L213" s="17" t="inlineStr">
        <is>
          <t>P17</t>
        </is>
      </c>
      <c r="M21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3" s="16" t="inlineStr">
        <is>
          <t>Inspect the raise-from-real-claim gate, the 8D-completeness closure precondition, the raiser≠closer self-approval block, the recorded effectiveness verdict (requalification gate), and the overdue detective worklist.</t>
        </is>
      </c>
      <c r="O21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3" s="16" t="inlineStr">
        <is>
          <t>SCAR register (open/responded/pending/closed/rejected) + 8D fields; closure maker-checker log (closed_by/effectiveness); overdue SCAR worklist</t>
        </is>
      </c>
      <c r="Q213" s="18" t="inlineStr">
        <is>
          <t>Implemented</t>
        </is>
      </c>
    </row>
    <row r="214">
      <c r="A214" s="11" t="inlineStr">
        <is>
          <t>EXP-13</t>
        </is>
      </c>
      <c r="B214" s="12" t="inlineStr">
        <is>
          <t>Expenditure</t>
        </is>
      </c>
      <c r="C214" s="13" t="inlineStr">
        <is>
          <t>Application</t>
        </is>
      </c>
      <c r="D214" s="12" t="inlineStr">
        <is>
          <t>Accounts Payable; Cash</t>
        </is>
      </c>
      <c r="E21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4" s="12" t="inlineStr">
        <is>
          <t>Authorization/Accuracy</t>
        </is>
      </c>
      <c r="G21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4" s="13" t="inlineStr">
        <is>
          <t>Prev</t>
        </is>
      </c>
      <c r="I214" s="13" t="inlineStr">
        <is>
          <t>Auto+Manual</t>
        </is>
      </c>
      <c r="J214" s="13" t="inlineStr">
        <is>
          <t>Per run</t>
        </is>
      </c>
      <c r="K214" s="12" t="inlineStr">
        <is>
          <t>AP / Controller / Treasury</t>
        </is>
      </c>
      <c r="L214" s="13" t="inlineStr">
        <is>
          <t>P18</t>
        </is>
      </c>
      <c r="M21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4" s="12" t="inlineStr">
        <is>
          <t>Inspect the run lifecycle (Draft→PendingApproval→Approved→Executed), the proposer≠approver/executor guards, the per-line match gate, the per-line idempotency, the fail-closed bank-file generation + hash pinning, and the statement-clearing hook.</t>
        </is>
      </c>
      <c r="O21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4" s="12" t="inlineStr">
        <is>
          <t>Payment-run approval log; per-line APP/PAY-AP references; bank-file SHA-256 status-log entries; cleared-line progress</t>
        </is>
      </c>
      <c r="Q214" s="18" t="inlineStr">
        <is>
          <t>Implemented</t>
        </is>
      </c>
    </row>
    <row r="215">
      <c r="A215" s="15" t="inlineStr">
        <is>
          <t>EXP-14</t>
        </is>
      </c>
      <c r="B215" s="16" t="inlineStr">
        <is>
          <t>Expenditure</t>
        </is>
      </c>
      <c r="C215" s="17" t="inlineStr">
        <is>
          <t>Application</t>
        </is>
      </c>
      <c r="D215" s="16" t="inlineStr">
        <is>
          <t>Accounts Payable; Cash</t>
        </is>
      </c>
      <c r="E21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5" s="16" t="inlineStr">
        <is>
          <t>Authorization/Accuracy/Occurrence</t>
        </is>
      </c>
      <c r="G21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5" s="17" t="inlineStr">
        <is>
          <t>Prev</t>
        </is>
      </c>
      <c r="I215" s="17" t="inlineStr">
        <is>
          <t>Auto+Manual</t>
        </is>
      </c>
      <c r="J215" s="17" t="inlineStr">
        <is>
          <t>Per policy change / per run</t>
        </is>
      </c>
      <c r="K215" s="16" t="inlineStr">
        <is>
          <t>AP / Controller / Treasury</t>
        </is>
      </c>
      <c r="L215" s="17" t="inlineStr">
        <is>
          <t>P18</t>
        </is>
      </c>
      <c r="M21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5" s="16" t="inlineStr">
        <is>
          <t>Inspect the policy maker-checker (creator≠activator, one Active policy per vendor scope), the days-early/sliding-scale computation + the cash-out cap, and the balanced Dr 1000 / Cr 4600 discount posting keyed for idempotency.</t>
        </is>
      </c>
      <c r="O21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5" s="16" t="inlineStr">
        <is>
          <t>Discount-policy approval log; per-run projected_discount + total_discount; AP-DISC discount-income journal entries</t>
        </is>
      </c>
      <c r="Q215" s="18" t="inlineStr">
        <is>
          <t>Implemented</t>
        </is>
      </c>
    </row>
    <row r="216">
      <c r="A216" s="11" t="inlineStr">
        <is>
          <t>FA-07</t>
        </is>
      </c>
      <c r="B216" s="12" t="inlineStr">
        <is>
          <t>Fixed Assets</t>
        </is>
      </c>
      <c r="C216" s="13" t="inlineStr">
        <is>
          <t>Application</t>
        </is>
      </c>
      <c r="D216" s="12" t="inlineStr">
        <is>
          <t>Property, Plant &amp; Equipment; Equity</t>
        </is>
      </c>
      <c r="E216" s="12" t="inlineStr">
        <is>
          <t>Carrying amount not adjusted for revaluation/impairment — asset over/understated.</t>
        </is>
      </c>
      <c r="F216" s="12" t="inlineStr">
        <is>
          <t>Valuation</t>
        </is>
      </c>
      <c r="G21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6" s="13" t="inlineStr">
        <is>
          <t>Det</t>
        </is>
      </c>
      <c r="I216" s="13" t="inlineStr">
        <is>
          <t>Automated</t>
        </is>
      </c>
      <c r="J216" s="13" t="inlineStr">
        <is>
          <t>Per event</t>
        </is>
      </c>
      <c r="K216" s="12" t="inlineStr">
        <is>
          <t>FaAccountant / Controller</t>
        </is>
      </c>
      <c r="L216" s="13" t="inlineStr">
        <is>
          <t>P10</t>
        </is>
      </c>
      <c r="M216" s="12" t="inlineStr">
        <is>
          <t>assets.service.ts (revalue up→3200 / down→5820, listRevaluations; dispose recycles surplus 3200→3100); assets.controller.ts (exec/creditors); schema/assets.ts (asset_revaluations) + migration 0120; cutover/basics.ts (ToE)</t>
        </is>
      </c>
      <c r="N216" s="12" t="inlineStr">
        <is>
          <t>Inspect revaluation/impairment routing + audit log + disposal recycling.</t>
        </is>
      </c>
      <c r="O216" s="12" t="inlineStr">
        <is>
          <t>Upward revaluation credits 3200; impairment debits 5820; no-change → NO_CHANGE; both events logged; on disposal the revaluation surplus is recycled to retained earnings (Dr 3200 / Cr 3100), not through P&amp;L (re-performed by the harness).</t>
        </is>
      </c>
      <c r="P216" s="12" t="inlineStr">
        <is>
          <t>Revaluation log; disposal recycling JE</t>
        </is>
      </c>
      <c r="Q216" s="18" t="inlineStr">
        <is>
          <t>Implemented</t>
        </is>
      </c>
    </row>
    <row r="217">
      <c r="A217" s="15" t="inlineStr">
        <is>
          <t>FA-08</t>
        </is>
      </c>
      <c r="B217" s="16" t="inlineStr">
        <is>
          <t>Fixed Assets</t>
        </is>
      </c>
      <c r="C217" s="17" t="inlineStr">
        <is>
          <t>Application</t>
        </is>
      </c>
      <c r="D217" s="16" t="inlineStr">
        <is>
          <t>Property, Plant &amp; Equipment; Equity</t>
        </is>
      </c>
      <c r="E217" s="16" t="inlineStr">
        <is>
          <t>Carrying amount changed by fair-value revaluation/impairment without independent review — the preparer revalues the asset and posts to equity/P&amp;L on their own (earnings/equity management).</t>
        </is>
      </c>
      <c r="F217" s="16" t="inlineStr">
        <is>
          <t>Authorization</t>
        </is>
      </c>
      <c r="G21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7" s="17" t="inlineStr">
        <is>
          <t>Prev</t>
        </is>
      </c>
      <c r="I217" s="17" t="inlineStr">
        <is>
          <t>Automated</t>
        </is>
      </c>
      <c r="J217" s="17" t="inlineStr">
        <is>
          <t>Per event</t>
        </is>
      </c>
      <c r="K217" s="16" t="inlineStr">
        <is>
          <t>FaAccountant / Controller</t>
        </is>
      </c>
      <c r="L217" s="17" t="inlineStr">
        <is>
          <t>P10</t>
        </is>
      </c>
      <c r="M217" s="16" t="inlineStr">
        <is>
          <t>assets.service.ts revalue(pendingApproval Draft)/approveRevaluation/rejectRevaluation; assets.controller.ts (:assetNo/revalue/approve|reject); schema/assets.ts asset_revaluations.status + migration 0134; cutover/basics.ts + compliance.ts (ToE)</t>
        </is>
      </c>
      <c r="N217" s="16" t="inlineStr">
        <is>
          <t>Inspect Draft→approve flow + the approver≠preparer check + deferred carrying-value update.</t>
        </is>
      </c>
      <c r="O217" s="16" t="inlineStr">
        <is>
          <t>Re-perform: request a revaluation (Draft JE excluded from 3200), attempt self-approve (SOD_VIOLATION), approve as a different user; confirm the surplus/impairment + carrying value move only after approval (re-performed by the harnesses).</t>
        </is>
      </c>
      <c r="P217" s="16" t="inlineStr">
        <is>
          <t>Revaluation approval log + SoD test</t>
        </is>
      </c>
      <c r="Q217" s="18" t="inlineStr">
        <is>
          <t>Implemented</t>
        </is>
      </c>
    </row>
    <row r="218">
      <c r="A218" s="11" t="inlineStr">
        <is>
          <t>LSE-01</t>
        </is>
      </c>
      <c r="B218" s="12" t="inlineStr">
        <is>
          <t>Leases</t>
        </is>
      </c>
      <c r="C218" s="13" t="inlineStr">
        <is>
          <t>Application</t>
        </is>
      </c>
      <c r="D218" s="12" t="inlineStr">
        <is>
          <t>Right-of-use assets; Lease liabilities</t>
        </is>
      </c>
      <c r="E218" s="12" t="inlineStr">
        <is>
          <t>Lease not capitalised (IFRS 16 / TFRS 16) — ROU asset + lease liability omitted; interest/depreciation mis-stated.</t>
        </is>
      </c>
      <c r="F218" s="12" t="inlineStr">
        <is>
          <t>Completeness/Accuracy/Valuation</t>
        </is>
      </c>
      <c r="G21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8" s="13" t="inlineStr">
        <is>
          <t>Det</t>
        </is>
      </c>
      <c r="I218" s="13" t="inlineStr">
        <is>
          <t>Automated</t>
        </is>
      </c>
      <c r="J218" s="13" t="inlineStr">
        <is>
          <t>Per period / per lease</t>
        </is>
      </c>
      <c r="K218" s="12" t="inlineStr">
        <is>
          <t>Controller</t>
        </is>
      </c>
      <c r="L218" s="13" t="inlineStr">
        <is>
          <t>P10</t>
        </is>
      </c>
      <c r="M218" s="12" t="inlineStr">
        <is>
          <t>leases.service.ts (createLease PV recognition, runDueLeases interest+payment+depreciation, modifyLease remeasurement); leases.controller.ts (gl_post); bi.service.ts (lease_periodic_run); schema/leases.ts (leases, rou_nbv) + migration 0120/0121; cutover/basics.ts (ToE)</t>
        </is>
      </c>
      <c r="N218" s="12" t="inlineStr">
        <is>
          <t>Inspect PV recognition + periodic interest/payment/depreciation + final-period clearing + modification remeasurement.</t>
        </is>
      </c>
      <c r="O21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8" s="12" t="inlineStr">
        <is>
          <t>Lease register; periodic run log; modification remeasurement</t>
        </is>
      </c>
      <c r="Q218" s="18" t="inlineStr">
        <is>
          <t>Implemented</t>
        </is>
      </c>
    </row>
    <row r="219">
      <c r="A219" s="15" t="inlineStr">
        <is>
          <t>LSE-02</t>
        </is>
      </c>
      <c r="B219" s="16" t="inlineStr">
        <is>
          <t>Leases</t>
        </is>
      </c>
      <c r="C219" s="17" t="inlineStr">
        <is>
          <t>Application</t>
        </is>
      </c>
      <c r="D219" s="16" t="inlineStr">
        <is>
          <t>Net investment in lease; Interest income; Rental income</t>
        </is>
      </c>
      <c r="E21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9" s="16" t="inlineStr">
        <is>
          <t>Completeness/Accuracy/Valuation/Presentation</t>
        </is>
      </c>
      <c r="G21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9" s="17" t="inlineStr">
        <is>
          <t>Prev/Det</t>
        </is>
      </c>
      <c r="I219" s="17" t="inlineStr">
        <is>
          <t>Automated</t>
        </is>
      </c>
      <c r="J219" s="17" t="inlineStr">
        <is>
          <t>Per lease (classification/approval) / per period (income)</t>
        </is>
      </c>
      <c r="K219" s="16" t="inlineStr">
        <is>
          <t>Controller</t>
        </is>
      </c>
      <c r="L219" s="17" t="inlineStr">
        <is>
          <t>P10/P13</t>
        </is>
      </c>
      <c r="M21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9" s="16" t="inlineStr">
        <is>
          <t>Inspect classification against the IFRS 16 lessor criteria, the maker-checker (creator ≠ approver) gate, finance-lease derecognition + net-investment recognition, periodic interest/rental income + depreciation, and the 1610 tie-out.</t>
        </is>
      </c>
      <c r="O21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9" s="16" t="inlineStr">
        <is>
          <t>Lessor lease register; classification approvals; periodic income log; net-investment reconciliation</t>
        </is>
      </c>
      <c r="Q219" s="18" t="inlineStr">
        <is>
          <t>Implemented</t>
        </is>
      </c>
    </row>
    <row r="220">
      <c r="A220" s="11" t="inlineStr">
        <is>
          <t>REC-01</t>
        </is>
      </c>
      <c r="B220" s="12" t="inlineStr">
        <is>
          <t>Reconciliation</t>
        </is>
      </c>
      <c r="C220" s="13" t="inlineStr">
        <is>
          <t>Application</t>
        </is>
      </c>
      <c r="D220" s="12" t="inlineStr">
        <is>
          <t>All</t>
        </is>
      </c>
      <c r="E220" s="12" t="inlineStr">
        <is>
          <t>Subledgers diverge from GL undetected.</t>
        </is>
      </c>
      <c r="F220" s="12" t="inlineStr">
        <is>
          <t>Completeness/Accuracy</t>
        </is>
      </c>
      <c r="G220" s="12" t="inlineStr">
        <is>
          <t>Subledger-to-GL reconciliation per period: import GL, auto-match, certify (sign-off via 'approvals').</t>
        </is>
      </c>
      <c r="H220" s="13" t="inlineStr">
        <is>
          <t>Det</t>
        </is>
      </c>
      <c r="I220" s="13" t="inlineStr">
        <is>
          <t>Auto+Manual</t>
        </is>
      </c>
      <c r="J220" s="13" t="inlineStr">
        <is>
          <t>Monthly</t>
        </is>
      </c>
      <c r="K220" s="12" t="inlineStr">
        <is>
          <t>Controller</t>
        </is>
      </c>
      <c r="L220" s="13" t="inlineStr">
        <is>
          <t>P16</t>
        </is>
      </c>
      <c r="M220" s="12" t="inlineStr">
        <is>
          <t>reconciliation.service.ts (importGlItems/autoMatch/certify)</t>
        </is>
      </c>
      <c r="N220" s="12" t="inlineStr">
        <is>
          <t>Inspect recon + certify gate.</t>
        </is>
      </c>
      <c r="O220" s="12" t="inlineStr">
        <is>
          <t>Sample periods: reconciled, unmatched cleared, certified.</t>
        </is>
      </c>
      <c r="P220" s="12" t="inlineStr">
        <is>
          <t>Certified recon</t>
        </is>
      </c>
      <c r="Q220" s="18" t="inlineStr">
        <is>
          <t>Implemented</t>
        </is>
      </c>
    </row>
    <row r="221">
      <c r="A221" s="15" t="inlineStr">
        <is>
          <t>REC-02</t>
        </is>
      </c>
      <c r="B221" s="16" t="inlineStr">
        <is>
          <t>Reconciliation</t>
        </is>
      </c>
      <c r="C221" s="17" t="inlineStr">
        <is>
          <t>Application</t>
        </is>
      </c>
      <c r="D221" s="16" t="inlineStr">
        <is>
          <t>Cash</t>
        </is>
      </c>
      <c r="E221" s="16" t="inlineStr">
        <is>
          <t>Bank balance not reconciled to GL.</t>
        </is>
      </c>
      <c r="F221" s="16" t="inlineStr">
        <is>
          <t>Existence/Completeness</t>
        </is>
      </c>
      <c r="G221" s="16" t="inlineStr">
        <is>
          <t>Bank reconciliation against statements.</t>
        </is>
      </c>
      <c r="H221" s="17" t="inlineStr">
        <is>
          <t>Det</t>
        </is>
      </c>
      <c r="I221" s="17" t="inlineStr">
        <is>
          <t>Auto+Manual</t>
        </is>
      </c>
      <c r="J221" s="17" t="inlineStr">
        <is>
          <t>Monthly</t>
        </is>
      </c>
      <c r="K221" s="16" t="inlineStr">
        <is>
          <t>Controller</t>
        </is>
      </c>
      <c r="L221" s="17" t="inlineStr">
        <is>
          <t>P16</t>
        </is>
      </c>
      <c r="M221" s="16" t="inlineStr">
        <is>
          <t>bank module; drizzle/0015_bank_reconciliation</t>
        </is>
      </c>
      <c r="N221" s="16" t="inlineStr">
        <is>
          <t>Inspect bank-rec process.</t>
        </is>
      </c>
      <c r="O221" s="16" t="inlineStr">
        <is>
          <t>Sample months reconciled &amp; reviewed.</t>
        </is>
      </c>
      <c r="P221" s="16" t="inlineStr">
        <is>
          <t>Bank rec</t>
        </is>
      </c>
      <c r="Q221" s="18" t="inlineStr">
        <is>
          <t>Implemented</t>
        </is>
      </c>
    </row>
    <row r="222">
      <c r="A222" s="11" t="inlineStr">
        <is>
          <t>BANK-02</t>
        </is>
      </c>
      <c r="B222" s="12" t="inlineStr">
        <is>
          <t>Cash &amp; Treasury</t>
        </is>
      </c>
      <c r="C222" s="13" t="inlineStr">
        <is>
          <t>Application</t>
        </is>
      </c>
      <c r="D222" s="12" t="inlineStr">
        <is>
          <t>Cash; Operating expense; Interest income</t>
        </is>
      </c>
      <c r="E222" s="12" t="inlineStr">
        <is>
          <t>A bank fee/interest adjustment is posted straight to the GL by one person during reconciliation — a cash outflow mis-booked as interest income, or a fictitious fee posted, with no independent review (single-person posting to the cash account).</t>
        </is>
      </c>
      <c r="F222" s="12" t="inlineStr">
        <is>
          <t>Authorization/Accuracy</t>
        </is>
      </c>
      <c r="G22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2" s="13" t="inlineStr">
        <is>
          <t>Prev</t>
        </is>
      </c>
      <c r="I222" s="13" t="inlineStr">
        <is>
          <t>Automated</t>
        </is>
      </c>
      <c r="J222" s="13" t="inlineStr">
        <is>
          <t>Per adjustment</t>
        </is>
      </c>
      <c r="K222" s="12" t="inlineStr">
        <is>
          <t>Controller</t>
        </is>
      </c>
      <c r="L222" s="13" t="inlineStr">
        <is>
          <t>P10</t>
        </is>
      </c>
      <c r="M222" s="12" t="inlineStr">
        <is>
          <t>bank.service.ts requestAdjustment/approveAdjustment/rejectAdjustment/listPendingAdjustments (reuses ledger.approveEntry SoD); bank.controller.ts (lines/:id/adjustment requests; adjustment/approve|reject gated approvals/gl_close); cutover/bankrec.ts (ToE)</t>
        </is>
      </c>
      <c r="N222" s="12" t="inlineStr">
        <is>
          <t>Inspect the request→approve flow + the approver≠requester check + that the Draft posts nothing until approval.</t>
        </is>
      </c>
      <c r="O222" s="12" t="inlineStr">
        <is>
          <t>Re-perform: request a fee adjustment (line unreconciled, GL difference unchanged), attempt self-approve (SOD_VIOLATION), approve as a different user; confirm the difference closes to 0 only after approval (re-performed by the bankrec harness).</t>
        </is>
      </c>
      <c r="P222" s="12" t="inlineStr">
        <is>
          <t>Bank adjustment queue + SoD test</t>
        </is>
      </c>
      <c r="Q222" s="18" t="inlineStr">
        <is>
          <t>Implemented</t>
        </is>
      </c>
    </row>
    <row r="223">
      <c r="A223" s="15" t="inlineStr">
        <is>
          <t>REC-03</t>
        </is>
      </c>
      <c r="B223" s="16" t="inlineStr">
        <is>
          <t>Reconciliation</t>
        </is>
      </c>
      <c r="C223" s="17" t="inlineStr">
        <is>
          <t>Application</t>
        </is>
      </c>
      <c r="D223" s="16" t="inlineStr">
        <is>
          <t>Consolidation</t>
        </is>
      </c>
      <c r="E223" s="16" t="inlineStr">
        <is>
          <t>Intercompany balances eliminated without an independent reconciliation sign-off.</t>
        </is>
      </c>
      <c r="F223" s="16" t="inlineStr">
        <is>
          <t>Accuracy</t>
        </is>
      </c>
      <c r="G22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3" s="17" t="inlineStr">
        <is>
          <t>Det</t>
        </is>
      </c>
      <c r="I223" s="17" t="inlineStr">
        <is>
          <t>Auto+Manual</t>
        </is>
      </c>
      <c r="J223" s="17" t="inlineStr">
        <is>
          <t>Period</t>
        </is>
      </c>
      <c r="K223" s="16" t="inlineStr">
        <is>
          <t>Group Controller</t>
        </is>
      </c>
      <c r="L223" s="17" t="inlineStr">
        <is>
          <t>P16</t>
        </is>
      </c>
      <c r="M223" s="16" t="inlineStr">
        <is>
          <t>modules/ic-reconciliation/ic-recon.service.ts (prepare/approve, SoD + eliminates gate); consolidation.service.ts runConsolidation (IC_RECON_NOT_APPROVED gate); ic_recon_periods (0205, RLS); cutover/consolidation.ts (ToE)</t>
        </is>
      </c>
      <c r="N223" s="16" t="inlineStr">
        <is>
          <t>Inspect the per-period IC reconciliation sign-off + the consolidation gate.</t>
        </is>
      </c>
      <c r="O223" s="16" t="inlineStr">
        <is>
          <t>Re-perform: consolidation is blocked before sign-off (IC_RECON_NOT_APPROVED); the preparer cannot approve their own reconciliation (SOD_VIOLATION); an independent approver signs off (balances eliminate) → consolidation proceeds.</t>
        </is>
      </c>
      <c r="P223" s="16" t="inlineStr">
        <is>
          <t>IC reconciliation sign-off + consolidation gate ToE</t>
        </is>
      </c>
      <c r="Q223" s="18" t="inlineStr">
        <is>
          <t>Implemented</t>
        </is>
      </c>
    </row>
    <row r="224">
      <c r="A224" s="11" t="inlineStr">
        <is>
          <t>REC-04</t>
        </is>
      </c>
      <c r="B224" s="12" t="inlineStr">
        <is>
          <t>Reconciliation</t>
        </is>
      </c>
      <c r="C224" s="13" t="inlineStr">
        <is>
          <t>Application</t>
        </is>
      </c>
      <c r="D224" s="12" t="inlineStr">
        <is>
          <t>All control accounts</t>
        </is>
      </c>
      <c r="E224" s="12" t="inlineStr">
        <is>
          <t>A sub-ledger silently drifts from its GL control account at period-end and no single review catches it (incomplete/inaccurate balances reach the financial statements).</t>
        </is>
      </c>
      <c r="F224" s="12" t="inlineStr">
        <is>
          <t>Completeness/Accuracy</t>
        </is>
      </c>
      <c r="G22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4" s="13" t="inlineStr">
        <is>
          <t>Det</t>
        </is>
      </c>
      <c r="I224" s="13" t="inlineStr">
        <is>
          <t>Automated</t>
        </is>
      </c>
      <c r="J224" s="13" t="inlineStr">
        <is>
          <t>Period / on demand</t>
        </is>
      </c>
      <c r="K224" s="12" t="inlineStr">
        <is>
          <t>Controller / CFO</t>
        </is>
      </c>
      <c r="L224" s="13" t="inlineStr">
        <is>
          <t>P16</t>
        </is>
      </c>
      <c r="M224" s="12" t="inlineStr">
        <is>
          <t>finance.service.ts reconcileControls; finance.controller.ts GET reconciliation/controls (exec/ar/creditors); reuses ledger.trialBalance + the AR/AP/inventory/gift-card/deferred sub-ledgers; cutover/giftcards.ts + compliance.ts (ToE)</t>
        </is>
      </c>
      <c r="N224" s="12" t="inlineStr">
        <is>
          <t>Inspect the pack: each control account's sub-ledger query + the GL tie + the exceptions roll-up.</t>
        </is>
      </c>
      <c r="O224" s="12" t="inlineStr">
        <is>
          <t>Re-perform: with a clean set, every line reconciled + all_reconciled=true; introduce a known sub-ledger/GL difference and confirm it surfaces as an exception (re-performed: gift-card 2200 + inventory 1200 ties asserted by the harnesses).</t>
        </is>
      </c>
      <c r="P224" s="12" t="inlineStr">
        <is>
          <t>Reconciliation pack; exceptions list</t>
        </is>
      </c>
      <c r="Q224" s="18" t="inlineStr">
        <is>
          <t>Implemented</t>
        </is>
      </c>
    </row>
    <row r="225">
      <c r="A225" s="15" t="inlineStr">
        <is>
          <t>REC-05</t>
        </is>
      </c>
      <c r="B225" s="16" t="inlineStr">
        <is>
          <t>Reconciliation</t>
        </is>
      </c>
      <c r="C225" s="17" t="inlineStr">
        <is>
          <t>Application</t>
        </is>
      </c>
      <c r="D225" s="16" t="inlineStr">
        <is>
          <t>Cash; Bank</t>
        </is>
      </c>
      <c r="E225" s="16" t="inlineStr">
        <is>
          <t>Till cash dropped to the safe never reaches the bank, or a deposit isn't matched to the statement — cash sits unbanked (theft/loss exposure) or the bank balance can't be tied to the books.</t>
        </is>
      </c>
      <c r="F225" s="16" t="inlineStr">
        <is>
          <t>Completeness/Existence/Authorization</t>
        </is>
      </c>
      <c r="G22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5" s="17" t="inlineStr">
        <is>
          <t>Det/Prev</t>
        </is>
      </c>
      <c r="I225" s="17" t="inlineStr">
        <is>
          <t>Auto+Manual</t>
        </is>
      </c>
      <c r="J225" s="17" t="inlineStr">
        <is>
          <t>Per banking run</t>
        </is>
      </c>
      <c r="K225" s="16" t="inlineStr">
        <is>
          <t>FinancialController / Treasury</t>
        </is>
      </c>
      <c r="L225" s="17" t="inlineStr">
        <is>
          <t>P16</t>
        </is>
      </c>
      <c r="M22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5" s="16" t="inlineStr">
        <is>
          <t>Inspect the undeposited-drop exposure read + the deposit GL (bank↔1000) + the reconcile step + the SoD (cashier vs treasury).</t>
        </is>
      </c>
      <c r="O225" s="16" t="inlineStr">
        <is>
          <t>Re-perform: two till drops → cash-in-safe shows the total; a cashier (pos_till) cannot bank (403); treasury banks → Dr bank / Cr 1000, cash-in-safe back to 0; reconcile the deposit; trial balance balanced (re-performed by the cash-banking harness).</t>
        </is>
      </c>
      <c r="P225" s="16" t="inlineStr">
        <is>
          <t>Bank-deposit register; undeposited-drop (cash-in-safe) exposure</t>
        </is>
      </c>
      <c r="Q225" s="18" t="inlineStr">
        <is>
          <t>Implemented</t>
        </is>
      </c>
    </row>
    <row r="226">
      <c r="A226" s="11" t="inlineStr">
        <is>
          <t>TR-01</t>
        </is>
      </c>
      <c r="B226" s="12" t="inlineStr">
        <is>
          <t>Cash &amp; Treasury</t>
        </is>
      </c>
      <c r="C226" s="13" t="inlineStr">
        <is>
          <t>Detective</t>
        </is>
      </c>
      <c r="D226" s="12" t="inlineStr">
        <is>
          <t>Cash; Bank</t>
        </is>
      </c>
      <c r="E22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6" s="12" t="inlineStr">
        <is>
          <t>Completeness/Accuracy</t>
        </is>
      </c>
      <c r="G22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6" s="13" t="inlineStr">
        <is>
          <t>Det</t>
        </is>
      </c>
      <c r="I226" s="13" t="inlineStr">
        <is>
          <t>Hybrid</t>
        </is>
      </c>
      <c r="J226" s="13" t="inlineStr">
        <is>
          <t>Weekly / per treasury review</t>
        </is>
      </c>
      <c r="K226" s="12" t="inlineStr">
        <is>
          <t>Treasurer / Controller</t>
        </is>
      </c>
      <c r="L226" s="13" t="inlineStr">
        <is>
          <t>P16</t>
        </is>
      </c>
      <c r="M22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6" s="12" t="inlineStr">
        <is>
          <t>Inspect the cash/bank position (ties to the trial balance), the 13-week forecast + projected trough, the liquidity KPIs, and the FX exposure by currency.</t>
        </is>
      </c>
      <c r="O22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6" s="12" t="inlineStr">
        <is>
          <t>Cash-position / treasury board (finance/metrics/cash/position); harness ToE (finance-kpi)</t>
        </is>
      </c>
      <c r="Q226" s="18" t="inlineStr">
        <is>
          <t>Implemented</t>
        </is>
      </c>
    </row>
    <row r="227">
      <c r="A227" s="15" t="inlineStr">
        <is>
          <t>TRE-01</t>
        </is>
      </c>
      <c r="B227" s="16" t="inlineStr">
        <is>
          <t>Cash &amp; Treasury</t>
        </is>
      </c>
      <c r="C227" s="17" t="inlineStr">
        <is>
          <t>Application</t>
        </is>
      </c>
      <c r="D227" s="16" t="inlineStr">
        <is>
          <t>Short-term Borrowings (2500); Long-term Borrowings (2550); Accrued Interest Payable (2450); Interest Expense (5900); Bank (1010)</t>
        </is>
      </c>
      <c r="E22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7" s="16" t="inlineStr">
        <is>
          <t>Accuracy/Valuation/Completeness/Authorization/Segregation of Duties</t>
        </is>
      </c>
      <c r="G22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7" s="17" t="inlineStr">
        <is>
          <t>Prev</t>
        </is>
      </c>
      <c r="I227" s="17" t="inlineStr">
        <is>
          <t>Automated</t>
        </is>
      </c>
      <c r="J227" s="17" t="inlineStr">
        <is>
          <t>Per drawdown / monthly accrual</t>
        </is>
      </c>
      <c r="K227" s="16" t="inlineStr">
        <is>
          <t>Treasury / Financial Controller</t>
        </is>
      </c>
      <c r="L227" s="17" t="inlineStr">
        <is>
          <t>P10</t>
        </is>
      </c>
      <c r="M22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7" s="16" t="inlineStr">
        <is>
          <t>Debt &amp; borrowings register (facility Open→Approved, drawdown/repayment, EIR amortization schedule + cursor); the DEBT-DRAW/DEBT-ACCR/DEBT-REPAY JEs; the maturity ladder</t>
        </is>
      </c>
      <c r="Q227" s="18" t="inlineStr">
        <is>
          <t>Implemented</t>
        </is>
      </c>
    </row>
    <row r="228">
      <c r="A228" s="11" t="inlineStr">
        <is>
          <t>TRE-02</t>
        </is>
      </c>
      <c r="B228" s="12" t="inlineStr">
        <is>
          <t>Cash &amp; Treasury</t>
        </is>
      </c>
      <c r="C228" s="13" t="inlineStr">
        <is>
          <t>Detective</t>
        </is>
      </c>
      <c r="D228" s="12" t="inlineStr">
        <is>
          <t>Borrowings; Debt covenants</t>
        </is>
      </c>
      <c r="E22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8" s="12" t="inlineStr">
        <is>
          <t>Completeness/Timeliness</t>
        </is>
      </c>
      <c r="G22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8" s="13" t="inlineStr">
        <is>
          <t>Det</t>
        </is>
      </c>
      <c r="I228" s="13" t="inlineStr">
        <is>
          <t>Automated</t>
        </is>
      </c>
      <c r="J228" s="13" t="inlineStr">
        <is>
          <t>Per covenant cadence (monthly/quarterly)</t>
        </is>
      </c>
      <c r="K228" s="12" t="inlineStr">
        <is>
          <t>Treasury / Financial Controller</t>
        </is>
      </c>
      <c r="L228" s="13" t="inlineStr">
        <is>
          <t>P16</t>
        </is>
      </c>
      <c r="M22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8" s="12" t="inlineStr">
        <is>
          <t>Inspect the covenant definition (metric/operator/threshold), the pass/breach evaluation, the persisted debt_covenant_tests row with the breached flag, and the breach worklist.</t>
        </is>
      </c>
      <c r="O228" s="12" t="inlineStr">
        <is>
          <t>TC-TRE-02-01: define a DSCR ≥ 1.25 covenant; a test at 1.40 passes (not breached); a test at 1.10 breaches and is persisted; the breach worklist surfaces the outstanding DSCR breach; a sibling tenant never sees it (RLS) (re-performed by the treasury-debt harness).</t>
        </is>
      </c>
      <c r="P228" s="12" t="inlineStr">
        <is>
          <t>debt_covenants register + debt_covenant_tests (breached readings) + the covenant-breach worklist</t>
        </is>
      </c>
      <c r="Q228" s="18" t="inlineStr">
        <is>
          <t>Implemented</t>
        </is>
      </c>
    </row>
    <row r="229">
      <c r="A229" s="15" t="inlineStr">
        <is>
          <t>TRE-03</t>
        </is>
      </c>
      <c r="B229" s="16" t="inlineStr">
        <is>
          <t>Cash &amp; Treasury</t>
        </is>
      </c>
      <c r="C229" s="17" t="inlineStr">
        <is>
          <t>Application</t>
        </is>
      </c>
      <c r="D229" s="16" t="inlineStr">
        <is>
          <t>Investments — Amortized Cost (1350); Investments — FVOCI (1360); Investments — FVTPL (1370); Allowance for Investment ECL (1355); FVOCI Reserve — OCI (3500); Investment Income (4700); Fair-value Gain/Loss FVTPL (5430); Investment Impairment (5440); Bank (1010)</t>
        </is>
      </c>
      <c r="E22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9" s="16" t="inlineStr">
        <is>
          <t>Accuracy/Valuation/Completeness/Authorization/Segregation of Duties</t>
        </is>
      </c>
      <c r="G22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9" s="17" t="inlineStr">
        <is>
          <t>Prev</t>
        </is>
      </c>
      <c r="I229" s="17" t="inlineStr">
        <is>
          <t>Automated</t>
        </is>
      </c>
      <c r="J229" s="17" t="inlineStr">
        <is>
          <t>Per trade / month-end valuation</t>
        </is>
      </c>
      <c r="K229" s="16" t="inlineStr">
        <is>
          <t>Treasury / Financial Controller</t>
        </is>
      </c>
      <c r="L229" s="17" t="inlineStr">
        <is>
          <t>P10</t>
        </is>
      </c>
      <c r="M22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9" s="16" t="inlineStr">
        <is>
          <t>Investment &amp; securities register (holding PendingApproval→Approved, classification, MTM/ECL valuation ledger); the INVEST-BUY/MTM/ACCR/DIV/ECL JEs; the maker-checker market-price register; the portfolio roll-up</t>
        </is>
      </c>
      <c r="Q229" s="18" t="inlineStr">
        <is>
          <t>Implemented</t>
        </is>
      </c>
    </row>
    <row r="230">
      <c r="A230" s="11" t="inlineStr">
        <is>
          <t>TRE-04</t>
        </is>
      </c>
      <c r="B230" s="12" t="inlineStr">
        <is>
          <t>Cash &amp; Treasury</t>
        </is>
      </c>
      <c r="C230" s="13" t="inlineStr">
        <is>
          <t>Application</t>
        </is>
      </c>
      <c r="D230" s="12" t="inlineStr">
        <is>
          <t>Derivative Asset (1380); Derivative Liability (2460); Cash-Flow Hedge Reserve — OCI (3550); Hedge Ineffectiveness / FV-hedge P&amp;L (5450); the hedged-item carrying account (e.g. Inventory 1200) and its reclassification revenue/P&amp;L line (e.g. 4000)</t>
        </is>
      </c>
      <c r="E23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0" s="12" t="inlineStr">
        <is>
          <t>Accuracy/Valuation/Presentation/Disclosure/Completeness/Authorization/Segregation of Duties</t>
        </is>
      </c>
      <c r="G23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0" s="13" t="inlineStr">
        <is>
          <t>Prev</t>
        </is>
      </c>
      <c r="I230" s="13" t="inlineStr">
        <is>
          <t>Automated</t>
        </is>
      </c>
      <c r="J230" s="13" t="inlineStr">
        <is>
          <t>Per designation / month-end remeasurement / on the hedged cash flow</t>
        </is>
      </c>
      <c r="K230" s="12" t="inlineStr">
        <is>
          <t>Treasury / Financial Controller</t>
        </is>
      </c>
      <c r="L230" s="13" t="inlineStr">
        <is>
          <t>P10</t>
        </is>
      </c>
      <c r="M23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0" s="12" t="inlineStr">
        <is>
          <t>Hedge accounting register (relationship PendingApproval→Approved designation, effectiveness tests, derivative FV, OCI movement ledger); the HEDGE-MTM / HEDGE-RECLASS JEs; the Cash-Flow Hedge Reserve 3550; the FV-hedge basis adjustment</t>
        </is>
      </c>
      <c r="Q230" s="18" t="inlineStr">
        <is>
          <t>Implemented</t>
        </is>
      </c>
    </row>
    <row r="231">
      <c r="A231" s="15" t="inlineStr">
        <is>
          <t>TRE-05</t>
        </is>
      </c>
      <c r="B231" s="16" t="inlineStr">
        <is>
          <t>Cash &amp; Treasury</t>
        </is>
      </c>
      <c r="C231" s="17" t="inlineStr">
        <is>
          <t>Application</t>
        </is>
      </c>
      <c r="D231" s="16" t="inlineStr">
        <is>
          <t>Intercompany Loan Receivable (1155); Intercompany Loan Payable (2155); Investment/Interest Income (4700); Interest Expense (5900); Bank (1010); the pool header/member bank accounts (e.g. 1010/1020)</t>
        </is>
      </c>
      <c r="E23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1" s="16" t="inlineStr">
        <is>
          <t>Accuracy/Valuation/Completeness/Authorization/Segregation of Duties</t>
        </is>
      </c>
      <c r="G23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1" s="17" t="inlineStr">
        <is>
          <t>Prev</t>
        </is>
      </c>
      <c r="I231" s="17" t="inlineStr">
        <is>
          <t>Automated</t>
        </is>
      </c>
      <c r="J231" s="17" t="inlineStr">
        <is>
          <t>Per loan / month-end accrual / on consolidation</t>
        </is>
      </c>
      <c r="K231" s="16" t="inlineStr">
        <is>
          <t>Treasury / Financial Controller</t>
        </is>
      </c>
      <c r="L231" s="17" t="inlineStr">
        <is>
          <t>P10</t>
        </is>
      </c>
      <c r="M23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1" s="18" t="inlineStr">
        <is>
          <t>Implemented</t>
        </is>
      </c>
    </row>
    <row r="232">
      <c r="A232" s="11" t="inlineStr">
        <is>
          <t>GOV-01</t>
        </is>
      </c>
      <c r="B232" s="12" t="inlineStr">
        <is>
          <t>Monitoring</t>
        </is>
      </c>
      <c r="C232" s="13" t="inlineStr">
        <is>
          <t>Application</t>
        </is>
      </c>
      <c r="D232" s="12" t="inlineStr">
        <is>
          <t>All</t>
        </is>
      </c>
      <c r="E232" s="12" t="inlineStr">
        <is>
          <t>A maker-checker approval sits un-actioned and is forgotten — a transaction stalls before it is effective, or (worse) a control is quietly bypassed and no one notices an item never got its independent review.</t>
        </is>
      </c>
      <c r="F232" s="12" t="inlineStr">
        <is>
          <t>Authorization/Completeness</t>
        </is>
      </c>
      <c r="G23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2" s="13" t="inlineStr">
        <is>
          <t>Det</t>
        </is>
      </c>
      <c r="I232" s="13" t="inlineStr">
        <is>
          <t>Automated</t>
        </is>
      </c>
      <c r="J232" s="13" t="inlineStr">
        <is>
          <t>Continuous / pre-close</t>
        </is>
      </c>
      <c r="K232" s="12" t="inlineStr">
        <is>
          <t>Controller / CFO</t>
        </is>
      </c>
      <c r="L232" s="13" t="inlineStr">
        <is>
          <t>P16</t>
        </is>
      </c>
      <c r="M23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2" s="12" t="inlineStr">
        <is>
          <t>Inspect the aggregation across all pending sources + the age/overdue roll-up.</t>
        </is>
      </c>
      <c r="O232" s="12" t="inlineStr">
        <is>
          <t>Re-perform: create a pending item (e.g. a Draft JE) and confirm it appears in the worklist with its control ID, amount and age; the overdue count flags items past the threshold (re-performed by the harness).</t>
        </is>
      </c>
      <c r="P232" s="12" t="inlineStr">
        <is>
          <t>Pending-approvals worklist</t>
        </is>
      </c>
      <c r="Q232" s="18" t="inlineStr">
        <is>
          <t>Implemented</t>
        </is>
      </c>
    </row>
    <row r="233">
      <c r="A233" s="15" t="inlineStr">
        <is>
          <t>GOV-02</t>
        </is>
      </c>
      <c r="B233" s="16" t="inlineStr">
        <is>
          <t>Monitoring</t>
        </is>
      </c>
      <c r="C233" s="17" t="inlineStr">
        <is>
          <t>Application</t>
        </is>
      </c>
      <c r="D233" s="16" t="inlineStr">
        <is>
          <t>All</t>
        </is>
      </c>
      <c r="E23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3" s="16" t="inlineStr">
        <is>
          <t>Monitoring/Completeness</t>
        </is>
      </c>
      <c r="G23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3" s="17" t="inlineStr">
        <is>
          <t>Det</t>
        </is>
      </c>
      <c r="I233" s="17" t="inlineStr">
        <is>
          <t>Automated</t>
        </is>
      </c>
      <c r="J233" s="17" t="inlineStr">
        <is>
          <t>Continuous / per monitoring cycle</t>
        </is>
      </c>
      <c r="K233" s="16" t="inlineStr">
        <is>
          <t>Controller / Internal Audit</t>
        </is>
      </c>
      <c r="L233" s="17" t="inlineStr">
        <is>
          <t>P16</t>
        </is>
      </c>
      <c r="M23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3" s="16" t="inlineStr">
        <is>
          <t>Inspect the six detectors + fingerprint idempotency, the disposition lifecycle (owner/due/root-cause + closing stamp), the KCI roll-up (overdue + MTTR) and the RLS scoping.</t>
        </is>
      </c>
      <c r="O23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3" s="16" t="inlineStr">
        <is>
          <t>Control-exception disposition register + KCI roll-up</t>
        </is>
      </c>
      <c r="Q233" s="18" t="inlineStr">
        <is>
          <t>Implemented</t>
        </is>
      </c>
    </row>
    <row r="234">
      <c r="A234" s="11" t="inlineStr">
        <is>
          <t>ITGC-MON-01</t>
        </is>
      </c>
      <c r="B234" s="12" t="inlineStr">
        <is>
          <t>Monitoring</t>
        </is>
      </c>
      <c r="C234" s="13" t="inlineStr">
        <is>
          <t>ITGC</t>
        </is>
      </c>
      <c r="D234" s="12" t="inlineStr">
        <is>
          <t>All</t>
        </is>
      </c>
      <c r="E23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4" s="12" t="inlineStr">
        <is>
          <t>Completeness/Accuracy</t>
        </is>
      </c>
      <c r="G23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4" s="13" t="inlineStr">
        <is>
          <t>Det</t>
        </is>
      </c>
      <c r="I234" s="13" t="inlineStr">
        <is>
          <t>Automated</t>
        </is>
      </c>
      <c r="J234" s="13" t="inlineStr">
        <is>
          <t>Continuous / on-demand</t>
        </is>
      </c>
      <c r="K234" s="12" t="inlineStr">
        <is>
          <t>Controller / SOX PMO</t>
        </is>
      </c>
      <c r="L234" s="13" t="inlineStr">
        <is>
          <t>P16</t>
        </is>
      </c>
      <c r="M23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4" s="12" t="inlineStr">
        <is>
          <t>Control catalogue + recorded ToE test-runs + linked CCM findings / audit evidence</t>
        </is>
      </c>
      <c r="Q234" s="18" t="inlineStr">
        <is>
          <t>Implemented</t>
        </is>
      </c>
    </row>
    <row r="235">
      <c r="A235" s="15" t="inlineStr">
        <is>
          <t>TAX-01</t>
        </is>
      </c>
      <c r="B235" s="16" t="inlineStr">
        <is>
          <t>Tax</t>
        </is>
      </c>
      <c r="C235" s="17" t="inlineStr">
        <is>
          <t>Application</t>
        </is>
      </c>
      <c r="D235" s="16" t="inlineStr">
        <is>
          <t>Tax (VAT)</t>
        </is>
      </c>
      <c r="E235" s="16" t="inlineStr">
        <is>
          <t>VAT computed incorrectly → filing/penalty risk.</t>
        </is>
      </c>
      <c r="F235" s="16" t="inlineStr">
        <is>
          <t>Accuracy</t>
        </is>
      </c>
      <c r="G235" s="16" t="inlineStr">
        <is>
          <t>VAT via pluggable provider (TH 7%); unit-tested; no hard-coded rate.</t>
        </is>
      </c>
      <c r="H235" s="17" t="inlineStr">
        <is>
          <t>Auto</t>
        </is>
      </c>
      <c r="I235" s="17" t="inlineStr">
        <is>
          <t>Automated</t>
        </is>
      </c>
      <c r="J235" s="17" t="inlineStr">
        <is>
          <t>Per txn</t>
        </is>
      </c>
      <c r="K235" s="16" t="inlineStr">
        <is>
          <t>Tax / Controller</t>
        </is>
      </c>
      <c r="L235" s="17" t="inlineStr">
        <is>
          <t>P10</t>
        </is>
      </c>
      <c r="M235" s="16" t="inlineStr">
        <is>
          <t>tax/tax-providers.ts; tax.service.ts; test/unit.test.ts</t>
        </is>
      </c>
      <c r="N235" s="16" t="inlineStr">
        <is>
          <t>Inspect rate provider + tests.</t>
        </is>
      </c>
      <c r="O235" s="16" t="inlineStr">
        <is>
          <t>Re-perform VAT on sample; tie to return.</t>
        </is>
      </c>
      <c r="P235" s="16" t="inlineStr">
        <is>
          <t>VAT tests</t>
        </is>
      </c>
      <c r="Q235" s="18" t="inlineStr">
        <is>
          <t>Implemented</t>
        </is>
      </c>
    </row>
    <row r="236">
      <c r="A236" s="11" t="inlineStr">
        <is>
          <t>TAX-02</t>
        </is>
      </c>
      <c r="B236" s="12" t="inlineStr">
        <is>
          <t>Tax</t>
        </is>
      </c>
      <c r="C236" s="13" t="inlineStr">
        <is>
          <t>Application</t>
        </is>
      </c>
      <c r="D236" s="12" t="inlineStr">
        <is>
          <t>Tax; Revenue</t>
        </is>
      </c>
      <c r="E236" s="12" t="inlineStr">
        <is>
          <t>Non-compliant e-Tax invoice / not transmitted to ETDA, or a failed SP submission silently lost.</t>
        </is>
      </c>
      <c r="F236" s="12" t="inlineStr">
        <is>
          <t>Accuracy/Compliance</t>
        </is>
      </c>
      <c r="G23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6" s="13" t="inlineStr">
        <is>
          <t>Auto</t>
        </is>
      </c>
      <c r="I236" s="13" t="inlineStr">
        <is>
          <t>Automated</t>
        </is>
      </c>
      <c r="J236" s="13" t="inlineStr">
        <is>
          <t>Per invoice</t>
        </is>
      </c>
      <c r="K236" s="12" t="inlineStr">
        <is>
          <t>Tax</t>
        </is>
      </c>
      <c r="L236" s="13" t="inlineStr">
        <is>
          <t>P10/P13</t>
        </is>
      </c>
      <c r="M236" s="12" t="inlineStr">
        <is>
          <t>tax-docs/etax-xml.ts; etax-email.service.ts; pos-fiscal/etax.service.ts + etax-providers.ts (submit/retryFailed, tested); tax-docs/pdfa3.ts</t>
        </is>
      </c>
      <c r="N236" s="12" t="inlineStr">
        <is>
          <t>Inspect XML schema + email composer + submission log.</t>
        </is>
      </c>
      <c r="O236" s="12" t="inlineStr">
        <is>
          <t>Sample invoices: valid XML, correct CC/escaping; induce a submission failure and confirm it is retryable, not lost.</t>
        </is>
      </c>
      <c r="P236" s="12" t="inlineStr">
        <is>
          <t>e-Tax samples; submission log</t>
        </is>
      </c>
      <c r="Q236" s="18" t="inlineStr">
        <is>
          <t>Implemented</t>
        </is>
      </c>
    </row>
    <row r="237">
      <c r="A237" s="15" t="inlineStr">
        <is>
          <t>TAX-03</t>
        </is>
      </c>
      <c r="B237" s="16" t="inlineStr">
        <is>
          <t>Tax</t>
        </is>
      </c>
      <c r="C237" s="17" t="inlineStr">
        <is>
          <t>Application</t>
        </is>
      </c>
      <c r="D237" s="16" t="inlineStr">
        <is>
          <t>Tax (WHT)</t>
        </is>
      </c>
      <c r="E237" s="16" t="inlineStr">
        <is>
          <t>Withholding tax mis-computed, not withheld at payment, or not tied to the GL.</t>
        </is>
      </c>
      <c r="F237" s="16" t="inlineStr">
        <is>
          <t>Accuracy</t>
        </is>
      </c>
      <c r="G23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7" s="17" t="inlineStr">
        <is>
          <t>Auto</t>
        </is>
      </c>
      <c r="I237" s="17" t="inlineStr">
        <is>
          <t>Automated</t>
        </is>
      </c>
      <c r="J237" s="17" t="inlineStr">
        <is>
          <t>Per payment / monthly</t>
        </is>
      </c>
      <c r="K237" s="16" t="inlineStr">
        <is>
          <t>Tax</t>
        </is>
      </c>
      <c r="L237" s="17" t="inlineStr">
        <is>
          <t>P10</t>
        </is>
      </c>
      <c r="M23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7" s="16" t="inlineStr">
        <is>
          <t>Inspect the WHT-at-payment posting + the ภ.ง.ด.→GL tie-out + the scheduled auto-cert batch.</t>
        </is>
      </c>
      <c r="O23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7" s="16" t="inlineStr">
        <is>
          <t>WHT GL postings + ภ.ง.ด.→GL tie-out + scheduled 50-ทวิ auto-cert ToE</t>
        </is>
      </c>
      <c r="Q237" s="18" t="inlineStr">
        <is>
          <t>Implemented</t>
        </is>
      </c>
    </row>
    <row r="238">
      <c r="A238" s="11" t="inlineStr">
        <is>
          <t>TAX-04</t>
        </is>
      </c>
      <c r="B238" s="12" t="inlineStr">
        <is>
          <t>Tax</t>
        </is>
      </c>
      <c r="C238" s="13" t="inlineStr">
        <is>
          <t>Application</t>
        </is>
      </c>
      <c r="D238" s="12" t="inlineStr">
        <is>
          <t>Tax (VAT); Tax Payable (2100)</t>
        </is>
      </c>
      <c r="E238" s="12" t="inlineStr">
        <is>
          <t>Output/input VAT on the filed ภ.พ.30 return does not agree to the GL — VAT liability mis-stated, a filing/penalty exposure, or a posting omission goes undetected before submission.</t>
        </is>
      </c>
      <c r="F238" s="12" t="inlineStr">
        <is>
          <t>Completeness/Accuracy</t>
        </is>
      </c>
      <c r="G23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8" s="13" t="inlineStr">
        <is>
          <t>Det</t>
        </is>
      </c>
      <c r="I238" s="13" t="inlineStr">
        <is>
          <t>Automated</t>
        </is>
      </c>
      <c r="J238" s="13" t="inlineStr">
        <is>
          <t>Monthly / pre-filing</t>
        </is>
      </c>
      <c r="K238" s="12" t="inlineStr">
        <is>
          <t>Tax / FinancialController</t>
        </is>
      </c>
      <c r="L238" s="13" t="inlineStr">
        <is>
          <t>P10/P16</t>
        </is>
      </c>
      <c r="M238" s="12" t="inlineStr">
        <is>
          <t>tax-reports.service.ts pp30 (outputVat/inputVat + 2100 net-movement tie); tax-reports.controller.ts (GET pp30, pp30/export, exec); tax-reports-pdf.ts; dine-in.service.ts/returns.service.ts/finance.service.ts post 2100 on sale/return/AP; /tax/reports UI; cutover/taxdocs.ts (ToE)</t>
        </is>
      </c>
      <c r="N238" s="12" t="inlineStr">
        <is>
          <t>Inspect the pp30 build + the 2100 net-movement query + the tie flag + the filing deadline.</t>
        </is>
      </c>
      <c r="O23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8" s="12" t="inlineStr">
        <is>
          <t>ภ.พ.30 return + GL-2100 reconciliation tie</t>
        </is>
      </c>
      <c r="Q238" s="18" t="inlineStr">
        <is>
          <t>Implemented</t>
        </is>
      </c>
    </row>
    <row r="239">
      <c r="A239" s="15" t="inlineStr">
        <is>
          <t>TAX-05</t>
        </is>
      </c>
      <c r="B239" s="16" t="inlineStr">
        <is>
          <t>Tax</t>
        </is>
      </c>
      <c r="C239" s="17" t="inlineStr">
        <is>
          <t>Application</t>
        </is>
      </c>
      <c r="D239" s="16" t="inlineStr">
        <is>
          <t>Tax (VAT/WHT)</t>
        </is>
      </c>
      <c r="E23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9" s="16" t="inlineStr">
        <is>
          <t>Completeness/Accuracy/Cutoff</t>
        </is>
      </c>
      <c r="G23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9" s="17" t="inlineStr">
        <is>
          <t>Det/Prev</t>
        </is>
      </c>
      <c r="I239" s="17" t="inlineStr">
        <is>
          <t>Auto+Manual</t>
        </is>
      </c>
      <c r="J239" s="17" t="inlineStr">
        <is>
          <t>Monthly / per filing</t>
        </is>
      </c>
      <c r="K239" s="16" t="inlineStr">
        <is>
          <t>Tax / FinancialController</t>
        </is>
      </c>
      <c r="L239" s="17" t="inlineStr">
        <is>
          <t>P10/P16</t>
        </is>
      </c>
      <c r="M23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9" s="16" t="inlineStr">
        <is>
          <t>Inspect the filing snapshot + the DRAFT→SUBMITTED→ACCEPTED lifecycle + the mandatory submission reference + the no-overwrite-of-a-filed-return rule + the deadline calendar.</t>
        </is>
      </c>
      <c r="O23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9" s="16" t="inlineStr">
        <is>
          <t>thai_tax_filings register + remittance calendar</t>
        </is>
      </c>
      <c r="Q239" s="18" t="inlineStr">
        <is>
          <t>Implemented</t>
        </is>
      </c>
    </row>
    <row r="240">
      <c r="A240" s="11" t="inlineStr">
        <is>
          <t>TAX-06</t>
        </is>
      </c>
      <c r="B240" s="12" t="inlineStr">
        <is>
          <t>Tax</t>
        </is>
      </c>
      <c r="C240" s="13" t="inlineStr">
        <is>
          <t>Application</t>
        </is>
      </c>
      <c r="D240" s="12" t="inlineStr">
        <is>
          <t>Deferred Tax Asset (1700); Deferred Tax Liability (2700); Deferred Tax Expense (5950)</t>
        </is>
      </c>
      <c r="E24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0" s="12" t="inlineStr">
        <is>
          <t>Accuracy/Valuation/Completeness/Authorization/Segregation of Duties</t>
        </is>
      </c>
      <c r="G24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0" s="13" t="inlineStr">
        <is>
          <t>Prev</t>
        </is>
      </c>
      <c r="I240" s="13" t="inlineStr">
        <is>
          <t>Automated</t>
        </is>
      </c>
      <c r="J240" s="13" t="inlineStr">
        <is>
          <t>Quarterly / year-end</t>
        </is>
      </c>
      <c r="K240" s="12" t="inlineStr">
        <is>
          <t>Tax / Financial Controller</t>
        </is>
      </c>
      <c r="L240" s="13" t="inlineStr">
        <is>
          <t>P10</t>
        </is>
      </c>
      <c r="M24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0" s="12" t="inlineStr">
        <is>
          <t>Inspect the temp-difference gathering (allowance×rate DTA + accelerated-dep DTL with the documented tax-dep simplification), the delta-vs-prior-run, the SELF_POST maker-checker, and the 1700/5950 posting through the period-lock gate.</t>
        </is>
      </c>
      <c r="O24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0" s="12" t="inlineStr">
        <is>
          <t>deferred_tax_runs register (Open→Posted, temp-difference schedule, runner/poster); the DEFTAX JE to 1700/5950; quarterly/year-end deferred-tax sign-off</t>
        </is>
      </c>
      <c r="Q240" s="18" t="inlineStr">
        <is>
          <t>Implemented</t>
        </is>
      </c>
    </row>
    <row r="241">
      <c r="A241" s="15" t="inlineStr">
        <is>
          <t>TAX-12</t>
        </is>
      </c>
      <c r="B241" s="16" t="inlineStr">
        <is>
          <t>Tax</t>
        </is>
      </c>
      <c r="C241" s="17" t="inlineStr">
        <is>
          <t>Application</t>
        </is>
      </c>
      <c r="D241" s="16" t="inlineStr">
        <is>
          <t>Deferred Tax Asset (1700); Deferred Tax Expense (5950)</t>
        </is>
      </c>
      <c r="E24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1" s="16" t="inlineStr">
        <is>
          <t>Valuation/Accuracy/Completeness/Authorization/Segregation of Duties</t>
        </is>
      </c>
      <c r="G24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1" s="17" t="inlineStr">
        <is>
          <t>Prev</t>
        </is>
      </c>
      <c r="I241" s="17" t="inlineStr">
        <is>
          <t>Automated</t>
        </is>
      </c>
      <c r="J241" s="17" t="inlineStr">
        <is>
          <t>Quarterly / year-end</t>
        </is>
      </c>
      <c r="K241" s="16" t="inlineStr">
        <is>
          <t>Tax / Financial Controller</t>
        </is>
      </c>
      <c r="L241" s="17" t="inlineStr">
        <is>
          <t>P10</t>
        </is>
      </c>
      <c r="M24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1" s="16" t="inlineStr">
        <is>
          <t>dta_valuation_allowances register (Open→Posted, gross/MLTN/allowance, runner/poster); the DTAVA JE to 5950/1700; uncertain_tax_positions register (Open→Settled/Lapsed, exposure/recognized/reserve, creator/settler); quarterly/year-end deferred-tax &amp; UTP sign-off</t>
        </is>
      </c>
      <c r="Q241" s="18" t="inlineStr">
        <is>
          <t>Implemented</t>
        </is>
      </c>
    </row>
    <row r="242">
      <c r="A242" s="11" t="inlineStr">
        <is>
          <t>TAX-07</t>
        </is>
      </c>
      <c r="B242" s="12" t="inlineStr">
        <is>
          <t>Tax</t>
        </is>
      </c>
      <c r="C242" s="13" t="inlineStr">
        <is>
          <t>Application</t>
        </is>
      </c>
      <c r="D242" s="12" t="inlineStr">
        <is>
          <t>Tax (VAT); Tax Payable (2100); Revenue (4000); Accounts Receivable (1100)</t>
        </is>
      </c>
      <c r="E24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2" s="12" t="inlineStr">
        <is>
          <t>Accuracy/Completeness/Occurrence/Authorization/Segregation of Duties</t>
        </is>
      </c>
      <c r="G24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2" s="13" t="inlineStr">
        <is>
          <t>Prev</t>
        </is>
      </c>
      <c r="I242" s="13" t="inlineStr">
        <is>
          <t>Automated</t>
        </is>
      </c>
      <c r="J242" s="13" t="inlineStr">
        <is>
          <t>Per note</t>
        </is>
      </c>
      <c r="K242" s="12" t="inlineStr">
        <is>
          <t>Tax / Financial Controller</t>
        </is>
      </c>
      <c r="L242" s="13" t="inlineStr">
        <is>
          <t>P10</t>
        </is>
      </c>
      <c r="M24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2" s="12" t="inlineStr">
        <is>
          <t>Inspect the reference/reason/credit-cap validation, the PendingApproval + Draft-GL issuance, the approver≠issuer SoD, and the signed output-VAT aggregation into the issue period.</t>
        </is>
      </c>
      <c r="O24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2" s="12" t="inlineStr">
        <is>
          <t>ใบลดหนี้/ใบเพิ่มหนี้ register (PendingApproval→Issued/Voided, original ref + reason, issuer/approver); the CN/DN JE to 4000/2100/1100; the signed output-VAT report row</t>
        </is>
      </c>
      <c r="Q242" s="18" t="inlineStr">
        <is>
          <t>Implemented</t>
        </is>
      </c>
    </row>
    <row r="243">
      <c r="A243" s="15" t="inlineStr">
        <is>
          <t>TAX-08</t>
        </is>
      </c>
      <c r="B243" s="16" t="inlineStr">
        <is>
          <t>Tax</t>
        </is>
      </c>
      <c r="C243" s="17" t="inlineStr">
        <is>
          <t>Application</t>
        </is>
      </c>
      <c r="D243" s="16" t="inlineStr">
        <is>
          <t>Input VAT (1300); PP36 VAT Payable (2120); Expense (5100)</t>
        </is>
      </c>
      <c r="E24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3" s="16" t="inlineStr">
        <is>
          <t>Completeness/Accuracy/Compliance</t>
        </is>
      </c>
      <c r="G24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3" s="17" t="inlineStr">
        <is>
          <t>Det</t>
        </is>
      </c>
      <c r="I243" s="17" t="inlineStr">
        <is>
          <t>Automated</t>
        </is>
      </c>
      <c r="J243" s="17" t="inlineStr">
        <is>
          <t>Per bill / monthly</t>
        </is>
      </c>
      <c r="K243" s="16" t="inlineStr">
        <is>
          <t>Tax</t>
        </is>
      </c>
      <c r="L243" s="17" t="inlineStr">
        <is>
          <t>P10</t>
        </is>
      </c>
      <c r="M24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3" s="16" t="inlineStr">
        <is>
          <t>Inspect the reverse_charge net booking + the Dr 1300 / Cr 2120 self-assessment leg, the ภ.พ.36 report + GL 2120 tie, and the filing/remittance-calendar wiring.</t>
        </is>
      </c>
      <c r="O24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3" s="16" t="inlineStr">
        <is>
          <t>ภ.พ.36 report + GL 2120 reconciliation tie; the self-assessment JE (1300/2120); the ภ.พ.36 filing register row + remittance calendar</t>
        </is>
      </c>
      <c r="Q243" s="18" t="inlineStr">
        <is>
          <t>Implemented</t>
        </is>
      </c>
    </row>
    <row r="244">
      <c r="A244" s="11" t="inlineStr">
        <is>
          <t>TAX-09</t>
        </is>
      </c>
      <c r="B244" s="12" t="inlineStr">
        <is>
          <t>Tax</t>
        </is>
      </c>
      <c r="C244" s="13" t="inlineStr">
        <is>
          <t>Application</t>
        </is>
      </c>
      <c r="D244" s="12" t="inlineStr">
        <is>
          <t>SBT Payable (2130); SBT Expense (5840); Project Revenue (4200)</t>
        </is>
      </c>
      <c r="E24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4" s="12" t="inlineStr">
        <is>
          <t>Completeness/Accuracy/Compliance</t>
        </is>
      </c>
      <c r="G24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4" s="13" t="inlineStr">
        <is>
          <t>Det</t>
        </is>
      </c>
      <c r="I244" s="13" t="inlineStr">
        <is>
          <t>Automated</t>
        </is>
      </c>
      <c r="J244" s="13" t="inlineStr">
        <is>
          <t>Per transfer / monthly</t>
        </is>
      </c>
      <c r="K244" s="12" t="inlineStr">
        <is>
          <t>Tax / Financial Controller</t>
        </is>
      </c>
      <c r="L244" s="13" t="inlineStr">
        <is>
          <t>P10</t>
        </is>
      </c>
      <c r="M24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4" s="12" t="inlineStr">
        <is>
          <t>Inspect the per-project opt-in rate, the atomic Dr 5840 / Cr 2130 accrual inside the transfer JE, the ภ.ธ.40 report + GL 2130 tie, and the filing/remittance-calendar wiring.</t>
        </is>
      </c>
      <c r="O24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4" s="12" t="inlineStr">
        <is>
          <t>ภ.ธ.40 report + GL 2130 reconciliation tie; the transfer JE SBT lines; the ภ.ธ.40 filing register row + remittance calendar</t>
        </is>
      </c>
      <c r="Q244" s="18" t="inlineStr">
        <is>
          <t>Implemented</t>
        </is>
      </c>
    </row>
    <row r="245">
      <c r="A245" s="15" t="inlineStr">
        <is>
          <t>TAX-10</t>
        </is>
      </c>
      <c r="B245" s="16" t="inlineStr">
        <is>
          <t>Tax</t>
        </is>
      </c>
      <c r="C245" s="17" t="inlineStr">
        <is>
          <t>Application</t>
        </is>
      </c>
      <c r="D245" s="16" t="inlineStr">
        <is>
          <t>Tax (VAT); Output VAT (2100); Revenue (4000)</t>
        </is>
      </c>
      <c r="E24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5" s="16" t="inlineStr">
        <is>
          <t>Accuracy/Occurrence/Completeness/Compliance</t>
        </is>
      </c>
      <c r="G24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5" s="17" t="inlineStr">
        <is>
          <t>Prev</t>
        </is>
      </c>
      <c r="I245" s="17" t="inlineStr">
        <is>
          <t>Automated</t>
        </is>
      </c>
      <c r="J245" s="17" t="inlineStr">
        <is>
          <t>Per conversion</t>
        </is>
      </c>
      <c r="K245" s="16" t="inlineStr">
        <is>
          <t>Store Manager / Tax</t>
        </is>
      </c>
      <c r="L245" s="17" t="inlineStr">
        <is>
          <t>P10</t>
        </is>
      </c>
      <c r="M245" s="16" t="inlineStr">
        <is>
          <t>tax/documents/tax-invoice.service.ts convertAbbreviatedToFull; tax-docs.controller.ts POST abbreviated/:docNo/convert-full; dto.ts ConvertAbbBody; schema/tax-docs.ts uq_tiv_converted_from + migration 0291; web /tax/invoices conversion card; cutover/taxdocs.ts (TAX-10 ToE)</t>
        </is>
      </c>
      <c r="N245" s="16" t="inlineStr">
        <is>
          <t>Inspect the buyer Tax-ID validation, the verbatim amount copy, the Replaced-status single-count, the idempotency backstop index and the audit metadata.</t>
        </is>
      </c>
      <c r="O24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5" s="16" t="inlineStr">
        <is>
          <t>Converted-invoice pair (ABB Replaced + linked full TIV); ภ.พ.30 single-count assertion; audit_log tax_abb_convert row; taxdocs harness ToE</t>
        </is>
      </c>
      <c r="Q245" s="18" t="inlineStr">
        <is>
          <t>Implemented</t>
        </is>
      </c>
    </row>
    <row r="246">
      <c r="A246" s="11" t="inlineStr">
        <is>
          <t>TAX-11</t>
        </is>
      </c>
      <c r="B246" s="12" t="inlineStr">
        <is>
          <t>Tax</t>
        </is>
      </c>
      <c r="C246" s="13" t="inlineStr">
        <is>
          <t>Application</t>
        </is>
      </c>
      <c r="D246" s="12" t="inlineStr">
        <is>
          <t>Corporate Income Tax Expense — current (5960); CIT Payable (2110); Deferred Tax (1700/2700/5950)</t>
        </is>
      </c>
      <c r="E24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6" s="12" t="inlineStr">
        <is>
          <t>Accuracy/Valuation/Completeness/Authorization/Segregation of Duties</t>
        </is>
      </c>
      <c r="G24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6" s="13" t="inlineStr">
        <is>
          <t>Prev</t>
        </is>
      </c>
      <c r="I246" s="13" t="inlineStr">
        <is>
          <t>Automated</t>
        </is>
      </c>
      <c r="J246" s="13" t="inlineStr">
        <is>
          <t>Quarterly / year-end</t>
        </is>
      </c>
      <c r="K246" s="12" t="inlineStr">
        <is>
          <t>Tax / Financial Controller</t>
        </is>
      </c>
      <c r="L246" s="13" t="inlineStr">
        <is>
          <t>P10</t>
        </is>
      </c>
      <c r="M24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6" s="12" t="inlineStr">
        <is>
          <t>income_tax_provisions register (Open→Posted, taxable-income bridge + ETR schedule, runner/poster, deferred-tax link); the CITPROV JE to 5960/2110; quarterly/year-end income-tax provision + ETR sign-off</t>
        </is>
      </c>
      <c r="Q246" s="18" t="inlineStr">
        <is>
          <t>Implemented</t>
        </is>
      </c>
    </row>
    <row r="247">
      <c r="A247" s="15" t="inlineStr">
        <is>
          <t>PAY-01</t>
        </is>
      </c>
      <c r="B247" s="16" t="inlineStr">
        <is>
          <t>Payroll</t>
        </is>
      </c>
      <c r="C247" s="17" t="inlineStr">
        <is>
          <t>Application</t>
        </is>
      </c>
      <c r="D247" s="16" t="inlineStr">
        <is>
          <t>Payroll expense/liability</t>
        </is>
      </c>
      <c r="E247" s="16" t="inlineStr">
        <is>
          <t>Payroll, SSO and PIT mis-computed.</t>
        </is>
      </c>
      <c r="F247" s="16" t="inlineStr">
        <is>
          <t>Accuracy</t>
        </is>
      </c>
      <c r="G247" s="16" t="inlineStr">
        <is>
          <t>Payroll engine — SSO 5% (cap 750), progressive PIT, payslip net; unit-tested.</t>
        </is>
      </c>
      <c r="H247" s="17" t="inlineStr">
        <is>
          <t>Auto</t>
        </is>
      </c>
      <c r="I247" s="17" t="inlineStr">
        <is>
          <t>Automated</t>
        </is>
      </c>
      <c r="J247" s="17" t="inlineStr">
        <is>
          <t>Per run</t>
        </is>
      </c>
      <c r="K247" s="16" t="inlineStr">
        <is>
          <t>HR / Payroll</t>
        </is>
      </c>
      <c r="L247" s="17" t="inlineStr">
        <is>
          <t>P10</t>
        </is>
      </c>
      <c r="M247" s="16" t="inlineStr">
        <is>
          <t>payroll/payroll-calc.ts; test/unit.test.ts</t>
        </is>
      </c>
      <c r="N247" s="16" t="inlineStr">
        <is>
          <t>Inspect calc + tests.</t>
        </is>
      </c>
      <c r="O247" s="16" t="inlineStr">
        <is>
          <t>Re-perform sample payslips.</t>
        </is>
      </c>
      <c r="P247" s="16" t="inlineStr">
        <is>
          <t>Payslip tests</t>
        </is>
      </c>
      <c r="Q247" s="18" t="inlineStr">
        <is>
          <t>Implemented</t>
        </is>
      </c>
    </row>
    <row r="248">
      <c r="A248" s="11" t="inlineStr">
        <is>
          <t>PAY-02</t>
        </is>
      </c>
      <c r="B248" s="12" t="inlineStr">
        <is>
          <t>Payroll</t>
        </is>
      </c>
      <c r="C248" s="13" t="inlineStr">
        <is>
          <t>Application</t>
        </is>
      </c>
      <c r="D248" s="12" t="inlineStr">
        <is>
          <t>Payroll liability</t>
        </is>
      </c>
      <c r="E248" s="12" t="inlineStr">
        <is>
          <t>Statutory withholdings (SSO/WHT/PF) mis-stated or not remitted, so the liability owed to the authorities diverges from the books.</t>
        </is>
      </c>
      <c r="F248" s="12" t="inlineStr">
        <is>
          <t>Accuracy/Compliance</t>
        </is>
      </c>
      <c r="G24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8" s="13" t="inlineStr">
        <is>
          <t>Det</t>
        </is>
      </c>
      <c r="I248" s="13" t="inlineStr">
        <is>
          <t>Automated</t>
        </is>
      </c>
      <c r="J248" s="13" t="inlineStr">
        <is>
          <t>Per run / monthly</t>
        </is>
      </c>
      <c r="K248" s="12" t="inlineStr">
        <is>
          <t>HR / Payroll / Treasury</t>
        </is>
      </c>
      <c r="L248" s="13" t="inlineStr">
        <is>
          <t>P10</t>
        </is>
      </c>
      <c r="M248" s="12" t="inlineStr">
        <is>
          <t>payroll/payroll.service.ts liabilities/remitLiability</t>
        </is>
      </c>
      <c r="N248" s="12" t="inlineStr">
        <is>
          <t>Inspect the schedule + the accrued/remitted/outstanding tie-out and the reconciled flag.</t>
        </is>
      </c>
      <c r="O248" s="12" t="inlineStr">
        <is>
          <t>Re-perform: run a payroll, confirm the SSO/WHT outstanding equals the payrun accrual; remit part and confirm the outstanding falls and the TB stays balanced; attempt an over-remit (REMIT_EXCEEDS_OUTSTANDING).</t>
        </is>
      </c>
      <c r="P248" s="12" t="inlineStr">
        <is>
          <t>Liability schedule + remittance JEs tied to filings</t>
        </is>
      </c>
      <c r="Q248" s="18" t="inlineStr">
        <is>
          <t>Implemented</t>
        </is>
      </c>
    </row>
    <row r="249">
      <c r="A249" s="15" t="inlineStr">
        <is>
          <t>PAY-03</t>
        </is>
      </c>
      <c r="B249" s="16" t="inlineStr">
        <is>
          <t>Payroll</t>
        </is>
      </c>
      <c r="C249" s="17" t="inlineStr">
        <is>
          <t>Application</t>
        </is>
      </c>
      <c r="D249" s="16" t="inlineStr">
        <is>
          <t>Payroll expense/liability; Cash</t>
        </is>
      </c>
      <c r="E249" s="16" t="inlineStr">
        <is>
          <t>Payroll run posted to the GL without independent review — the preparer both computes and posts their own payroll (ghost employees, inflated rate/hours).</t>
        </is>
      </c>
      <c r="F249" s="16" t="inlineStr">
        <is>
          <t>Authorization</t>
        </is>
      </c>
      <c r="G24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9" s="17" t="inlineStr">
        <is>
          <t>Prev</t>
        </is>
      </c>
      <c r="I249" s="17" t="inlineStr">
        <is>
          <t>Automated</t>
        </is>
      </c>
      <c r="J249" s="17" t="inlineStr">
        <is>
          <t>Per run</t>
        </is>
      </c>
      <c r="K249" s="16" t="inlineStr">
        <is>
          <t>HR / Payroll; Controller</t>
        </is>
      </c>
      <c r="L249" s="17" t="inlineStr">
        <is>
          <t>P10</t>
        </is>
      </c>
      <c r="M249" s="16" t="inlineStr">
        <is>
          <t>payroll/payroll.service.ts approvePayroll/rejectPayroll; migration 0133</t>
        </is>
      </c>
      <c r="N249" s="16" t="inlineStr">
        <is>
          <t>Inspect Draft→approve flow + the approver≠preparer check.</t>
        </is>
      </c>
      <c r="O249" s="16" t="inlineStr">
        <is>
          <t>Re-perform: run as A, attempt self-approve (SOD_VIOLATION), approve as B; confirm the JE hits balances only after approval.</t>
        </is>
      </c>
      <c r="P249" s="16" t="inlineStr">
        <is>
          <t>Approval log + SoD test</t>
        </is>
      </c>
      <c r="Q249" s="18" t="inlineStr">
        <is>
          <t>Implemented</t>
        </is>
      </c>
    </row>
    <row r="250">
      <c r="A250" s="11" t="inlineStr">
        <is>
          <t>PAY-04</t>
        </is>
      </c>
      <c r="B250" s="12" t="inlineStr">
        <is>
          <t>Payroll</t>
        </is>
      </c>
      <c r="C250" s="13" t="inlineStr">
        <is>
          <t>Application</t>
        </is>
      </c>
      <c r="D250" s="12" t="inlineStr">
        <is>
          <t>Payroll expense; Labor cost</t>
        </is>
      </c>
      <c r="E25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0" s="12" t="inlineStr">
        <is>
          <t>Accuracy/Completeness</t>
        </is>
      </c>
      <c r="G25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0" s="13" t="inlineStr">
        <is>
          <t>Det/Prev</t>
        </is>
      </c>
      <c r="I250" s="13" t="inlineStr">
        <is>
          <t>Auto+Manual</t>
        </is>
      </c>
      <c r="J250" s="13" t="inlineStr">
        <is>
          <t>Per shift / payroll cycle</t>
        </is>
      </c>
      <c r="K250" s="12" t="inlineStr">
        <is>
          <t>HR / Store Ops Mgr</t>
        </is>
      </c>
      <c r="L250" s="13" t="inlineStr">
        <is>
          <t>P10/P13</t>
        </is>
      </c>
      <c r="M25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0" s="12" t="inlineStr">
        <is>
          <t>Inspect the statutory-default overlay, the tier multipliers, the 48h cap + over_cap flag, and the labor-% threshold alert (raise/idempotent/resolve).</t>
        </is>
      </c>
      <c r="O25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0" s="12" t="inlineStr">
        <is>
          <t>labor_ot_rules + labor_alerts register; OT/labor-% test</t>
        </is>
      </c>
      <c r="Q250" s="18" t="inlineStr">
        <is>
          <t>Implemented</t>
        </is>
      </c>
    </row>
    <row r="251">
      <c r="A251" s="15" t="inlineStr">
        <is>
          <t>PAY-05</t>
        </is>
      </c>
      <c r="B251" s="16" t="inlineStr">
        <is>
          <t>Payroll</t>
        </is>
      </c>
      <c r="C251" s="17" t="inlineStr">
        <is>
          <t>Application</t>
        </is>
      </c>
      <c r="D251" s="16" t="inlineStr">
        <is>
          <t>Payroll expense; Labor hours</t>
        </is>
      </c>
      <c r="E25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1" s="16" t="inlineStr">
        <is>
          <t>Existence/Accuracy/Authorization</t>
        </is>
      </c>
      <c r="G25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1" s="17" t="inlineStr">
        <is>
          <t>Prev/Det</t>
        </is>
      </c>
      <c r="I251" s="17" t="inlineStr">
        <is>
          <t>Automated</t>
        </is>
      </c>
      <c r="J251" s="17" t="inlineStr">
        <is>
          <t>Per punch</t>
        </is>
      </c>
      <c r="K251" s="16" t="inlineStr">
        <is>
          <t>HR / Store Ops Mgr</t>
        </is>
      </c>
      <c r="L251" s="17" t="inlineStr">
        <is>
          <t>P10/P13</t>
        </is>
      </c>
      <c r="M25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1" s="16" t="inlineStr">
        <is>
          <t>Inspect the 15-min duplicate-punch guard, the method capture, the geofence pass/fail computation, and the supervisor-override reason + audit trail.</t>
        </is>
      </c>
      <c r="O25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1" s="16" t="inlineStr">
        <is>
          <t>time_clock method/geofence columns + override note; anti-buddy test</t>
        </is>
      </c>
      <c r="Q251" s="18" t="inlineStr">
        <is>
          <t>Implemented</t>
        </is>
      </c>
    </row>
    <row r="252">
      <c r="A252" s="11" t="inlineStr">
        <is>
          <t>PAY-06</t>
        </is>
      </c>
      <c r="B252" s="12" t="inlineStr">
        <is>
          <t>Payroll</t>
        </is>
      </c>
      <c r="C252" s="13" t="inlineStr">
        <is>
          <t>Application</t>
        </is>
      </c>
      <c r="D252" s="12" t="inlineStr">
        <is>
          <t>Payroll PII; Payslip</t>
        </is>
      </c>
      <c r="E25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2" s="12" t="inlineStr">
        <is>
          <t>Confidentiality/Restricted access</t>
        </is>
      </c>
      <c r="G25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2" s="13" t="inlineStr">
        <is>
          <t>Prev</t>
        </is>
      </c>
      <c r="I252" s="13" t="inlineStr">
        <is>
          <t>Automated</t>
        </is>
      </c>
      <c r="J252" s="13" t="inlineStr">
        <is>
          <t>Per access</t>
        </is>
      </c>
      <c r="K252" s="12" t="inlineStr">
        <is>
          <t>HR / Payroll; DPO</t>
        </is>
      </c>
      <c r="L252" s="13" t="inlineStr">
        <is>
          <t>P10</t>
        </is>
      </c>
      <c r="M25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2" s="12" t="inlineStr">
        <is>
          <t>Inspect the me()-&gt;employee_id predicate on the ESS route, the HR-route permission gate, and the last-4 citizen-ID mask.</t>
        </is>
      </c>
      <c r="O25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2" s="12" t="inlineStr">
        <is>
          <t>PDPA payslip-access test (own-200/other-404/HR-403) + masked-ID render</t>
        </is>
      </c>
      <c r="Q252" s="18" t="inlineStr">
        <is>
          <t>Implemented</t>
        </is>
      </c>
    </row>
    <row r="253">
      <c r="A253" s="15" t="inlineStr">
        <is>
          <t>HR-01</t>
        </is>
      </c>
      <c r="B253" s="16" t="inlineStr">
        <is>
          <t>Payroll</t>
        </is>
      </c>
      <c r="C253" s="17" t="inlineStr">
        <is>
          <t>Application</t>
        </is>
      </c>
      <c r="D253" s="16" t="inlineStr">
        <is>
          <t>Human Resources (headcount / labour cost)</t>
        </is>
      </c>
      <c r="E25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3" s="16" t="inlineStr">
        <is>
          <t>Authorization/Segregation of Duties</t>
        </is>
      </c>
      <c r="G25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3" s="17" t="inlineStr">
        <is>
          <t>Prev</t>
        </is>
      </c>
      <c r="I253" s="17" t="inlineStr">
        <is>
          <t>Automated</t>
        </is>
      </c>
      <c r="J253" s="17" t="inlineStr">
        <is>
          <t>Per assignment</t>
        </is>
      </c>
      <c r="K253" s="16" t="inlineStr">
        <is>
          <t>HR / Payroll; Exec (override)</t>
        </is>
      </c>
      <c r="L253" s="17" t="inlineStr">
        <is>
          <t>P10</t>
        </is>
      </c>
      <c r="M25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3" s="16" t="inlineStr">
        <is>
          <t>Inspect the active-headcount count against budgeted_headcount, the HEADCOUNT_EXCEEDED block for a non-exec, the exec-only override path, and the HEADCOUNT_OVERRIDE audit row on the doc status log.</t>
        </is>
      </c>
      <c r="O25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3" s="16" t="inlineStr">
        <is>
          <t>Position establishment register (budgeted vs current headcount); the HEADCOUNT_OVERRIDE audit trail on over-establishment hires</t>
        </is>
      </c>
      <c r="Q253" s="18" t="inlineStr">
        <is>
          <t>Implemented</t>
        </is>
      </c>
    </row>
    <row r="254">
      <c r="A254" s="11" t="inlineStr">
        <is>
          <t>FA-09</t>
        </is>
      </c>
      <c r="B254" s="12" t="inlineStr">
        <is>
          <t>Fixed Assets</t>
        </is>
      </c>
      <c r="C254" s="13" t="inlineStr">
        <is>
          <t>Application</t>
        </is>
      </c>
      <c r="D254" s="12" t="inlineStr">
        <is>
          <t>Property, Plant &amp; Equipment; Cash</t>
        </is>
      </c>
      <c r="E254" s="12" t="inlineStr">
        <is>
          <t>Asset disposed without independent review — one person writes an asset off the books and records the proceeds (asset-stripping / theft: dispose a still-held asset, or to a related party below value).</t>
        </is>
      </c>
      <c r="F254" s="12" t="inlineStr">
        <is>
          <t>Authorization</t>
        </is>
      </c>
      <c r="G25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4" s="13" t="inlineStr">
        <is>
          <t>Prev</t>
        </is>
      </c>
      <c r="I254" s="13" t="inlineStr">
        <is>
          <t>Automated</t>
        </is>
      </c>
      <c r="J254" s="13" t="inlineStr">
        <is>
          <t>Per disposal</t>
        </is>
      </c>
      <c r="K254" s="12" t="inlineStr">
        <is>
          <t>FaAccountant / Controller</t>
        </is>
      </c>
      <c r="L254" s="13" t="inlineStr">
        <is>
          <t>P10</t>
        </is>
      </c>
      <c r="M254" s="12" t="inlineStr">
        <is>
          <t>assets.service.ts dispose(pendingApproval Draft)/approveDisposal/rejectDisposal; assets.controller.ts (:assetNo/dispose/approve|reject); schema/assets.ts fixed_assets.disposal_pending + migration 0135; cutover/basics.ts + worldclass.ts + compliance.ts (ToE)</t>
        </is>
      </c>
      <c r="N254" s="12" t="inlineStr">
        <is>
          <t>Inspect Draft→approve flow + the approver≠requester check + deferred status/recycle.</t>
        </is>
      </c>
      <c r="O254" s="12" t="inlineStr">
        <is>
          <t>Re-perform: request a disposal (Draft JE excluded), attempt self-approve (SOD_VIOLATION), approve as a different user; confirm status→disposed + surplus recycled only after approval (re-performed by the harnesses).</t>
        </is>
      </c>
      <c r="P254" s="12" t="inlineStr">
        <is>
          <t>Disposal approval log + SoD test</t>
        </is>
      </c>
      <c r="Q254" s="18" t="inlineStr">
        <is>
          <t>Implemented</t>
        </is>
      </c>
    </row>
    <row r="255">
      <c r="A255" s="15" t="inlineStr">
        <is>
          <t>FA-10</t>
        </is>
      </c>
      <c r="B255" s="16" t="inlineStr">
        <is>
          <t>Fixed Assets</t>
        </is>
      </c>
      <c r="C255" s="17" t="inlineStr">
        <is>
          <t>Application</t>
        </is>
      </c>
      <c r="D255" s="16" t="inlineStr">
        <is>
          <t>Property, Plant &amp; Equipment; Accounts Payable</t>
        </is>
      </c>
      <c r="E255" s="16" t="inlineStr">
        <is>
          <t>Capital purchases mis-capitalised or capitalised without independent review — the person who receives the goods also decides what enters the asset register and at what cost/useful life (fictitious or over-valued assets; capex/opex mis-classification).</t>
        </is>
      </c>
      <c r="F255" s="16" t="inlineStr">
        <is>
          <t>Authorization; Accuracy</t>
        </is>
      </c>
      <c r="G25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5" s="17" t="inlineStr">
        <is>
          <t>Prev</t>
        </is>
      </c>
      <c r="I255" s="17" t="inlineStr">
        <is>
          <t>Automated</t>
        </is>
      </c>
      <c r="J255" s="17" t="inlineStr">
        <is>
          <t>Per capital receipt</t>
        </is>
      </c>
      <c r="K255" s="16" t="inlineStr">
        <is>
          <t>FaAccountant / Controller</t>
        </is>
      </c>
      <c r="L255" s="17" t="inlineStr">
        <is>
          <t>P10</t>
        </is>
      </c>
      <c r="M25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5" s="16" t="inlineStr">
        <is>
          <t>Inspect the eligible→request→approve flow + approver≠requester check + the inventory-vs-asset routing of capital lines.</t>
        </is>
      </c>
      <c r="O255" s="16" t="inlineStr">
        <is>
          <t>Re-perform: receive a capital line, raise a registration (no GL), attempt self-approve (SOD_VIOLATION), approve as a different user; confirm the asset + Dr 1500/Cr 2000 post only after approval and the line cannot be re-registered (re-performed by the harnesses).</t>
        </is>
      </c>
      <c r="P255" s="16" t="inlineStr">
        <is>
          <t>Capitalization approval log + SoD test</t>
        </is>
      </c>
      <c r="Q255" s="18" t="inlineStr">
        <is>
          <t>Implemented</t>
        </is>
      </c>
    </row>
    <row r="256">
      <c r="A256" s="11" t="inlineStr">
        <is>
          <t>FA-11</t>
        </is>
      </c>
      <c r="B256" s="12" t="inlineStr">
        <is>
          <t>Fixed Assets</t>
        </is>
      </c>
      <c r="C256" s="13" t="inlineStr">
        <is>
          <t>Application</t>
        </is>
      </c>
      <c r="D256" s="12" t="inlineStr">
        <is>
          <t>Property, Plant &amp; Equipment</t>
        </is>
      </c>
      <c r="E25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6" s="12" t="inlineStr">
        <is>
          <t>Authorization; Existence</t>
        </is>
      </c>
      <c r="G25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6" s="13" t="inlineStr">
        <is>
          <t>Prev / Det</t>
        </is>
      </c>
      <c r="I256" s="13" t="inlineStr">
        <is>
          <t>Automated</t>
        </is>
      </c>
      <c r="J256" s="13" t="inlineStr">
        <is>
          <t>Per custody move / per audit</t>
        </is>
      </c>
      <c r="K256" s="12" t="inlineStr">
        <is>
          <t>FaAccountant / Controller</t>
        </is>
      </c>
      <c r="L256" s="13" t="inlineStr">
        <is>
          <t>P10</t>
        </is>
      </c>
      <c r="M25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6" s="12" t="inlineStr">
        <is>
          <t>Inspect the scan-&gt;request-&gt;approve flow + the approver!=requester check + the audit reconcile-&gt;custody-request path.</t>
        </is>
      </c>
      <c r="O25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6" s="12" t="inlineStr">
        <is>
          <t>Custody-change approval log + audit reconciliation + SoD test</t>
        </is>
      </c>
      <c r="Q256" s="18" t="inlineStr">
        <is>
          <t>Implemented</t>
        </is>
      </c>
    </row>
    <row r="257">
      <c r="A257" s="15" t="inlineStr">
        <is>
          <t>FA-12</t>
        </is>
      </c>
      <c r="B257" s="16" t="inlineStr">
        <is>
          <t>Fixed Assets</t>
        </is>
      </c>
      <c r="C257" s="17" t="inlineStr">
        <is>
          <t>Detective</t>
        </is>
      </c>
      <c r="D257" s="16" t="inlineStr">
        <is>
          <t>Property, Plant &amp; Equipment</t>
        </is>
      </c>
      <c r="E257" s="16" t="inlineStr">
        <is>
          <t>Assets exist on the register but are never physically confirmed — a missing/stolen/scrapped asset stays on the books indefinitely because no periodic existence check flags it, overstating PPE and the existence assertion.</t>
        </is>
      </c>
      <c r="F257" s="16" t="inlineStr">
        <is>
          <t>Existence; Completeness</t>
        </is>
      </c>
      <c r="G25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7" s="17" t="inlineStr">
        <is>
          <t>Det</t>
        </is>
      </c>
      <c r="I257" s="17" t="inlineStr">
        <is>
          <t>Automated</t>
        </is>
      </c>
      <c r="J257" s="17" t="inlineStr">
        <is>
          <t>Monthly (scheduled) / on demand</t>
        </is>
      </c>
      <c r="K257" s="16" t="inlineStr">
        <is>
          <t>FaAccountant / Controller</t>
        </is>
      </c>
      <c r="L257" s="17" t="inlineStr">
        <is>
          <t>P16</t>
        </is>
      </c>
      <c r="M257" s="16" t="inlineStr">
        <is>
          <t>assets.service.ts unverifiedAssets/auditReport; assets.controller.ts (unverified, audit-report); bi.service.ts REPORT_TYPES asset_verification_exceptions + asset_audit + generateReport blocks; bi.module.ts imports AssetsModule; cutover/module-qr.ts (ToE)</t>
        </is>
      </c>
      <c r="N257" s="16" t="inlineStr">
        <is>
          <t>Inspect the exception query (last Scan Verify/Update vs N-day threshold, acquisition-date fallback) and that the report is a registered, schedulable BI type.</t>
        </is>
      </c>
      <c r="O25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7" s="16" t="inlineStr">
        <is>
          <t>Scheduled exception report runs + exception list + verification-movement log</t>
        </is>
      </c>
      <c r="Q257" s="18" t="inlineStr">
        <is>
          <t>Implemented</t>
        </is>
      </c>
    </row>
    <row r="258">
      <c r="A258" s="11" t="inlineStr">
        <is>
          <t>FA-13</t>
        </is>
      </c>
      <c r="B258" s="12" t="inlineStr">
        <is>
          <t>Fixed Assets</t>
        </is>
      </c>
      <c r="C258" s="13" t="inlineStr">
        <is>
          <t>Application</t>
        </is>
      </c>
      <c r="D258" s="12" t="inlineStr">
        <is>
          <t>Property, Plant &amp; Equipment; Accounts Payable</t>
        </is>
      </c>
      <c r="E25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8" s="12" t="inlineStr">
        <is>
          <t>Authorization; Accuracy</t>
        </is>
      </c>
      <c r="G25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8" s="13" t="inlineStr">
        <is>
          <t>Prev</t>
        </is>
      </c>
      <c r="I258" s="13" t="inlineStr">
        <is>
          <t>Automated</t>
        </is>
      </c>
      <c r="J258" s="13" t="inlineStr">
        <is>
          <t>Per capitalisation</t>
        </is>
      </c>
      <c r="K258" s="12" t="inlineStr">
        <is>
          <t>FaAccountant / Controller</t>
        </is>
      </c>
      <c r="L258" s="13" t="inlineStr">
        <is>
          <t>P10</t>
        </is>
      </c>
      <c r="M25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8" s="12" t="inlineStr">
        <is>
          <t>Inspect the accumulate-&gt;settle-&gt;approve flow + the approver!=requester check + the Dr 1500/Cr 1520 reclassification, and that deferred tax consumes the real tax NBV.</t>
        </is>
      </c>
      <c r="O25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8" s="12" t="inlineStr">
        <is>
          <t>CIP settlement approval log + SoD test + tax-book/deferred-tax tie-out</t>
        </is>
      </c>
      <c r="Q258" s="18" t="inlineStr">
        <is>
          <t>Implemented</t>
        </is>
      </c>
    </row>
    <row r="259">
      <c r="A259" s="15" t="inlineStr">
        <is>
          <t>CON-01</t>
        </is>
      </c>
      <c r="B259" s="16" t="inlineStr">
        <is>
          <t>Consolidation &amp; FX</t>
        </is>
      </c>
      <c r="C259" s="17" t="inlineStr">
        <is>
          <t>Application</t>
        </is>
      </c>
      <c r="D259" s="16" t="inlineStr">
        <is>
          <t>Consolidation</t>
        </is>
      </c>
      <c r="E259" s="16" t="inlineStr">
        <is>
          <t>Group consolidation mis-stated (ownership/currency).</t>
        </is>
      </c>
      <c r="F259" s="16" t="inlineStr">
        <is>
          <t>Accuracy</t>
        </is>
      </c>
      <c r="G259" s="16" t="inlineStr">
        <is>
          <t>Consolidation run (ownership %, entity currency) gated by 'approvals'.</t>
        </is>
      </c>
      <c r="H259" s="17" t="inlineStr">
        <is>
          <t>Auto+Manual</t>
        </is>
      </c>
      <c r="I259" s="17" t="inlineStr">
        <is>
          <t>Period</t>
        </is>
      </c>
      <c r="J259" s="17" t="inlineStr">
        <is>
          <t>Period</t>
        </is>
      </c>
      <c r="K259" s="16" t="inlineStr">
        <is>
          <t>Group Controller</t>
        </is>
      </c>
      <c r="L259" s="17" t="inlineStr">
        <is>
          <t>P10</t>
        </is>
      </c>
      <c r="M259" s="16" t="inlineStr">
        <is>
          <t>consolidation.service.ts (runConsolidation @Permissions approvals)</t>
        </is>
      </c>
      <c r="N259" s="16" t="inlineStr">
        <is>
          <t>Inspect consolidation logic + gate.</t>
        </is>
      </c>
      <c r="O259" s="16" t="inlineStr">
        <is>
          <t>Sample period: consolidated TB ties to entities.</t>
        </is>
      </c>
      <c r="P259" s="16" t="inlineStr">
        <is>
          <t>Consol TB</t>
        </is>
      </c>
      <c r="Q259" s="18" t="inlineStr">
        <is>
          <t>Implemented</t>
        </is>
      </c>
    </row>
    <row r="260">
      <c r="A260" s="11" t="inlineStr">
        <is>
          <t>CON-02</t>
        </is>
      </c>
      <c r="B260" s="12" t="inlineStr">
        <is>
          <t>Consolidation &amp; FX</t>
        </is>
      </c>
      <c r="C260" s="13" t="inlineStr">
        <is>
          <t>Application</t>
        </is>
      </c>
      <c r="D260" s="12" t="inlineStr">
        <is>
          <t>FX gain/loss</t>
        </is>
      </c>
      <c r="E260" s="12" t="inlineStr">
        <is>
          <t>FX exposures not revalued at period-end.</t>
        </is>
      </c>
      <c r="F260" s="12" t="inlineStr">
        <is>
          <t>Valuation</t>
        </is>
      </c>
      <c r="G260" s="12" t="inlineStr">
        <is>
          <t>FX revaluation at period-end rates; unrealized FX posted (acct 5400).</t>
        </is>
      </c>
      <c r="H260" s="13" t="inlineStr">
        <is>
          <t>Auto+Manual</t>
        </is>
      </c>
      <c r="I260" s="13" t="inlineStr">
        <is>
          <t>Period-end</t>
        </is>
      </c>
      <c r="J260" s="13" t="inlineStr">
        <is>
          <t>Period</t>
        </is>
      </c>
      <c r="K260" s="12" t="inlineStr">
        <is>
          <t>Controller</t>
        </is>
      </c>
      <c r="L260" s="13" t="inlineStr">
        <is>
          <t>P10</t>
        </is>
      </c>
      <c r="M260" s="12" t="inlineStr">
        <is>
          <t>fx.service.ts (revalue / unrealized report)</t>
        </is>
      </c>
      <c r="N260" s="12" t="inlineStr">
        <is>
          <t>Inspect reval logic + rates.</t>
        </is>
      </c>
      <c r="O260" s="12" t="inlineStr">
        <is>
          <t>Recompute reval on sample balances.</t>
        </is>
      </c>
      <c r="P260" s="12" t="inlineStr">
        <is>
          <t>FX reval JE</t>
        </is>
      </c>
      <c r="Q260" s="18" t="inlineStr">
        <is>
          <t>Implemented</t>
        </is>
      </c>
    </row>
    <row r="261">
      <c r="A261" s="15" t="inlineStr">
        <is>
          <t>CON-03</t>
        </is>
      </c>
      <c r="B261" s="16" t="inlineStr">
        <is>
          <t>Consolidation &amp; FX</t>
        </is>
      </c>
      <c r="C261" s="17" t="inlineStr">
        <is>
          <t>Application</t>
        </is>
      </c>
      <c r="D261" s="16" t="inlineStr">
        <is>
          <t>Consolidation</t>
        </is>
      </c>
      <c r="E261" s="16" t="inlineStr">
        <is>
          <t>Intercompany balances/transactions are not eliminated on consolidation, OR eliminations are mis-stated, so the consolidated group trial balance does not balance and group financials are overstated (IC double-counted).</t>
        </is>
      </c>
      <c r="F261" s="16" t="inlineStr">
        <is>
          <t>Accuracy/Completeness</t>
        </is>
      </c>
      <c r="G26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1" s="17" t="inlineStr">
        <is>
          <t>Prev</t>
        </is>
      </c>
      <c r="I261" s="17" t="inlineStr">
        <is>
          <t>Auto+Manual</t>
        </is>
      </c>
      <c r="J261" s="17" t="inlineStr">
        <is>
          <t>Period</t>
        </is>
      </c>
      <c r="K261" s="16" t="inlineStr">
        <is>
          <t>Group Controller</t>
        </is>
      </c>
      <c r="L261" s="17" t="inlineStr">
        <is>
          <t>P10</t>
        </is>
      </c>
      <c r="M26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1" s="16" t="inlineStr">
        <is>
          <t>Inspect the combine→eliminate→balance flow, the CONSOL_UNBALANCED guard, and the run→post approver≠runner check.</t>
        </is>
      </c>
      <c r="O261" s="16" t="inlineStr">
        <is>
          <t>Re-perform: run a group consolidation, confirm IC 1150/2150 eliminate and the consolidated TB balances; attempt self-post (SELF_POST); post as a different user (Posted); re-run the posted period (ALREADY_POSTED). Re-performed by the consolidation harness.</t>
        </is>
      </c>
      <c r="P261" s="16" t="inlineStr">
        <is>
          <t>Consolidated TB + elimination lines + post log</t>
        </is>
      </c>
      <c r="Q261" s="18" t="inlineStr">
        <is>
          <t>Implemented</t>
        </is>
      </c>
    </row>
    <row r="262">
      <c r="A262" s="11" t="inlineStr">
        <is>
          <t>CON-04</t>
        </is>
      </c>
      <c r="B262" s="12" t="inlineStr">
        <is>
          <t>Consolidation &amp; FX</t>
        </is>
      </c>
      <c r="C262" s="13" t="inlineStr">
        <is>
          <t>Application</t>
        </is>
      </c>
      <c r="D262" s="12" t="inlineStr">
        <is>
          <t>All (segment disclosure)</t>
        </is>
      </c>
      <c r="E262" s="12" t="inlineStr">
        <is>
          <t>Segment (branch/project/department) operating results are not reported, so IFRS 8 segment disclosure is incomplete or inaccurate and management/investors cannot see results by reportable segment.</t>
        </is>
      </c>
      <c r="F262" s="12" t="inlineStr">
        <is>
          <t>Presentation/Disclosure</t>
        </is>
      </c>
      <c r="G26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2" s="13" t="inlineStr">
        <is>
          <t>Det</t>
        </is>
      </c>
      <c r="I262" s="13" t="inlineStr">
        <is>
          <t>Auto+Manual</t>
        </is>
      </c>
      <c r="J262" s="13" t="inlineStr">
        <is>
          <t>Period</t>
        </is>
      </c>
      <c r="K262" s="12" t="inlineStr">
        <is>
          <t>Group Controller</t>
        </is>
      </c>
      <c r="L262" s="13" t="inlineStr">
        <is>
          <t>P10</t>
        </is>
      </c>
      <c r="M262" s="12" t="inlineStr">
        <is>
          <t>consolidation.service.ts defineSegment/listSegments/segmentReport; consolidation.controller.ts (segments, segment-report @exec); schema/consolidation.ts segment_definitions + migration 0170; cutover/consolidation.ts (ToE)</t>
        </is>
      </c>
      <c r="N262" s="12" t="inlineStr">
        <is>
          <t>Inspect the segment mapping + the dimension-grouped P&amp;L aggregation.</t>
        </is>
      </c>
      <c r="O262" s="12" t="inlineStr">
        <is>
          <t>Re-perform: define a segment over branches, run the segment report for a period, confirm revenue/expense/net tie to the underlying dimensioned postings. Re-performed by the consolidation harness.</t>
        </is>
      </c>
      <c r="P262" s="12" t="inlineStr">
        <is>
          <t>Segment P&amp;L report</t>
        </is>
      </c>
      <c r="Q262" s="18" t="inlineStr">
        <is>
          <t>Implemented</t>
        </is>
      </c>
    </row>
    <row r="263">
      <c r="A263" s="15" t="inlineStr">
        <is>
          <t>FX-04</t>
        </is>
      </c>
      <c r="B263" s="16" t="inlineStr">
        <is>
          <t>Consolidation &amp; FX</t>
        </is>
      </c>
      <c r="C263" s="17" t="inlineStr">
        <is>
          <t>Application</t>
        </is>
      </c>
      <c r="D263" s="16" t="inlineStr">
        <is>
          <t>FX gain/loss; Revenue; AR/AP</t>
        </is>
      </c>
      <c r="E263" s="16" t="inlineStr">
        <is>
          <t>A wrong manually-entered FX rate (fat-fingered, e.g. USD 36 keyed as 63) flows straight into a period-end revaluation JE and the unrealized-FX report with no independent review — mis-stating earnings/equity and FX-translated balances.</t>
        </is>
      </c>
      <c r="F263" s="16" t="inlineStr">
        <is>
          <t>Accuracy/Valuation</t>
        </is>
      </c>
      <c r="G26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3" s="17" t="inlineStr">
        <is>
          <t>Prev</t>
        </is>
      </c>
      <c r="I263" s="17" t="inlineStr">
        <is>
          <t>Automated</t>
        </is>
      </c>
      <c r="J263" s="17" t="inlineStr">
        <is>
          <t>Per rate</t>
        </is>
      </c>
      <c r="K263" s="16" t="inlineStr">
        <is>
          <t>Controller / Treasury</t>
        </is>
      </c>
      <c r="L263" s="17" t="inlineStr">
        <is>
          <t>P10</t>
        </is>
      </c>
      <c r="M26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3" s="16" t="inlineStr">
        <is>
          <t>Inspect the request→approve flow + the approver≠requester check + that revaluation/reporting resolve Approved rates only.</t>
        </is>
      </c>
      <c r="O263" s="16" t="inlineStr">
        <is>
          <t>Re-perform: enter a manual rate (PendingApproval), confirm revalue is blocked NO_RATE while pending, attempt self-approve (SOD_VIOLATION), approve as a different user, then revalue succeeds (re-performed by the fxreval harness).</t>
        </is>
      </c>
      <c r="P263" s="16" t="inlineStr">
        <is>
          <t>FX rate approval log + SoD test</t>
        </is>
      </c>
      <c r="Q263" s="18" t="inlineStr">
        <is>
          <t>Implemented</t>
        </is>
      </c>
    </row>
    <row r="264">
      <c r="A264" s="11" t="inlineStr">
        <is>
          <t>CON-05</t>
        </is>
      </c>
      <c r="B264" s="12" t="inlineStr">
        <is>
          <t>Consolidation &amp; FX</t>
        </is>
      </c>
      <c r="C264" s="13" t="inlineStr">
        <is>
          <t>Application</t>
        </is>
      </c>
      <c r="D264" s="12" t="inlineStr">
        <is>
          <t>Consolidation; FX (CTA/OCI); Equity</t>
        </is>
      </c>
      <c r="E26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4" s="12" t="inlineStr">
        <is>
          <t>Accuracy/Valuation/Presentation</t>
        </is>
      </c>
      <c r="G26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4" s="13" t="inlineStr">
        <is>
          <t>Prev</t>
        </is>
      </c>
      <c r="I264" s="13" t="inlineStr">
        <is>
          <t>Automated</t>
        </is>
      </c>
      <c r="J264" s="13" t="inlineStr">
        <is>
          <t>Period</t>
        </is>
      </c>
      <c r="K264" s="12" t="inlineStr">
        <is>
          <t>Group Controller</t>
        </is>
      </c>
      <c r="L264" s="13" t="inlineStr">
        <is>
          <t>P10</t>
        </is>
      </c>
      <c r="M26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4" s="12" t="inlineStr">
        <is>
          <t>Inspect the average-vs-closing rate selection, the CTA plug that rebalances each foreign entity, and the post-elimination consolidated SCF derivation/reconciliation.</t>
        </is>
      </c>
      <c r="O26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4" s="12" t="inlineStr">
        <is>
          <t>Consolidated TB with CTA/OCI line + consolidated SCF</t>
        </is>
      </c>
      <c r="Q264" s="18" t="inlineStr">
        <is>
          <t>Implemented</t>
        </is>
      </c>
    </row>
    <row r="265">
      <c r="A265" s="15" t="inlineStr">
        <is>
          <t>BUD-01</t>
        </is>
      </c>
      <c r="B265" s="16" t="inlineStr">
        <is>
          <t>Budgeting &amp; Planning</t>
        </is>
      </c>
      <c r="C265" s="17" t="inlineStr">
        <is>
          <t>Application</t>
        </is>
      </c>
      <c r="D265" s="16" t="inlineStr">
        <is>
          <t>Budget; All (variance reporting)</t>
        </is>
      </c>
      <c r="E26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5" s="16" t="inlineStr">
        <is>
          <t>Authorization/Accuracy</t>
        </is>
      </c>
      <c r="G26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5" s="17" t="inlineStr">
        <is>
          <t>Prev</t>
        </is>
      </c>
      <c r="I265" s="17" t="inlineStr">
        <is>
          <t>Automated</t>
        </is>
      </c>
      <c r="J265" s="17" t="inlineStr">
        <is>
          <t>Per budget</t>
        </is>
      </c>
      <c r="K265" s="16" t="inlineStr">
        <is>
          <t>Controller / FP&amp;A</t>
        </is>
      </c>
      <c r="L265" s="17" t="inlineStr">
        <is>
          <t>P10</t>
        </is>
      </c>
      <c r="M265" s="16" t="inlineStr">
        <is>
          <t>budget.service.ts upsertBudget(→PendingApproval)/approveBudget/rejectBudget/budgetVsActual(Approved only); budget.controller.ts (budgets/approve|reject|pending gated approvals/gl_close); schema/budgets.ts budgets.status + migration 0142; cutover/budget.ts (ToE)</t>
        </is>
      </c>
      <c r="N265" s="16" t="inlineStr">
        <is>
          <t>Inspect the request→approve flow + the approver≠requester check + that budget-vs-actual counts Approved budgets only.</t>
        </is>
      </c>
      <c r="O265" s="16" t="inlineStr">
        <is>
          <t>Re-perform: upsert a budget (PendingApproval, excluded from variance), attempt self-approve (SOD_VIOLATION), approve as a different user, confirm it then appears in budget-vs-actual (re-performed by the budget harness).</t>
        </is>
      </c>
      <c r="P265" s="16" t="inlineStr">
        <is>
          <t>Budget approval log + SoD test</t>
        </is>
      </c>
      <c r="Q265" s="18" t="inlineStr">
        <is>
          <t>Implemented</t>
        </is>
      </c>
    </row>
    <row r="266">
      <c r="A266" s="11" t="inlineStr">
        <is>
          <t>BUD-02</t>
        </is>
      </c>
      <c r="B266" s="12" t="inlineStr">
        <is>
          <t>Budgeting &amp; Planning</t>
        </is>
      </c>
      <c r="C266" s="13" t="inlineStr">
        <is>
          <t>Application</t>
        </is>
      </c>
      <c r="D266" s="12" t="inlineStr">
        <is>
          <t>Budget; Procurement (P2P spend)</t>
        </is>
      </c>
      <c r="E26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6" s="12" t="inlineStr">
        <is>
          <t>Authorization/Completeness</t>
        </is>
      </c>
      <c r="G26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6" s="13" t="inlineStr">
        <is>
          <t>Prev</t>
        </is>
      </c>
      <c r="I266" s="13" t="inlineStr">
        <is>
          <t>Automated</t>
        </is>
      </c>
      <c r="J266" s="13" t="inlineStr">
        <is>
          <t>Per approval</t>
        </is>
      </c>
      <c r="K266" s="12" t="inlineStr">
        <is>
          <t>Controller / FP&amp;A</t>
        </is>
      </c>
      <c r="L266" s="13" t="inlineStr">
        <is>
          <t>P10</t>
        </is>
      </c>
      <c r="M26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6" s="12" t="inlineStr">
        <is>
          <t>Inspect the availability formula (budget − actuals − open commitments), the policy switch + fail-open default, the exec-only override with mandatory reason, and the commitment lifecycle (reserve→consume/release).</t>
        </is>
      </c>
      <c r="O26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6" s="12" t="inlineStr">
        <is>
          <t>Budget-control policy + budget_commitments audit rows (override_by/override_reason)</t>
        </is>
      </c>
      <c r="Q266" s="18" t="inlineStr">
        <is>
          <t>Implemented</t>
        </is>
      </c>
    </row>
    <row r="267">
      <c r="A267" s="15" t="inlineStr">
        <is>
          <t>HR-03</t>
        </is>
      </c>
      <c r="B267" s="16" t="inlineStr">
        <is>
          <t>Payroll</t>
        </is>
      </c>
      <c r="C267" s="17" t="inlineStr">
        <is>
          <t>Application</t>
        </is>
      </c>
      <c r="D267" s="16" t="inlineStr">
        <is>
          <t>Human Resources; Payroll</t>
        </is>
      </c>
      <c r="E26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7" s="16" t="inlineStr">
        <is>
          <t>Authorization/Segregation of Duties</t>
        </is>
      </c>
      <c r="G26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7" s="17" t="inlineStr">
        <is>
          <t>Prev</t>
        </is>
      </c>
      <c r="I267" s="17" t="inlineStr">
        <is>
          <t>Automated</t>
        </is>
      </c>
      <c r="J267" s="17" t="inlineStr">
        <is>
          <t>Per review</t>
        </is>
      </c>
      <c r="K267" s="16" t="inlineStr">
        <is>
          <t>HR / People Ops; Line Manager</t>
        </is>
      </c>
      <c r="L267" s="17" t="inlineStr">
        <is>
          <t>P10</t>
        </is>
      </c>
      <c r="M26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7" s="16" t="inlineStr">
        <is>
          <t>Inspect the manager-rating self-review guard, the sign-off signer-vs-reviewee guard + manager-rating precondition, and the &lt;=100% goal-weight check.</t>
        </is>
      </c>
      <c r="O26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7" s="16" t="inlineStr">
        <is>
          <t>Review workflow log (self/manager/calibrated/signed) + SoD test</t>
        </is>
      </c>
      <c r="Q267" s="18" t="inlineStr">
        <is>
          <t>Implemented</t>
        </is>
      </c>
    </row>
    <row r="268">
      <c r="A268" s="11" t="inlineStr">
        <is>
          <t>HR-02</t>
        </is>
      </c>
      <c r="B268" s="12" t="inlineStr">
        <is>
          <t>Payroll</t>
        </is>
      </c>
      <c r="C268" s="13" t="inlineStr">
        <is>
          <t>Application</t>
        </is>
      </c>
      <c r="D268" s="12" t="inlineStr">
        <is>
          <t>Leave liability; Payroll expense</t>
        </is>
      </c>
      <c r="E26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8" s="12" t="inlineStr">
        <is>
          <t>Accuracy/Authorization</t>
        </is>
      </c>
      <c r="G26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8" s="13" t="inlineStr">
        <is>
          <t>Prev</t>
        </is>
      </c>
      <c r="I268" s="13" t="inlineStr">
        <is>
          <t>Automated</t>
        </is>
      </c>
      <c r="J268" s="13" t="inlineStr">
        <is>
          <t>Per request / monthly accrual</t>
        </is>
      </c>
      <c r="K268" s="12" t="inlineStr">
        <is>
          <t>HR / Payroll</t>
        </is>
      </c>
      <c r="L268" s="13" t="inlineStr">
        <is>
          <t>P10</t>
        </is>
      </c>
      <c r="M26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8" s="12" t="inlineStr">
        <is>
          <t>Inspect the effective-rate resolution (policy grade/tenure -&gt; type default), the per-(tenant,period) idempotency guard, the carryover-cap + max-balance clamps, and the requestLeave available-balance gate.</t>
        </is>
      </c>
      <c r="O26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8" s="12" t="inlineStr">
        <is>
          <t>leave_types/leave_policies/leave_accrual_runs register + accrual/gate test</t>
        </is>
      </c>
      <c r="Q268" s="18" t="inlineStr">
        <is>
          <t>Implemented</t>
        </is>
      </c>
    </row>
    <row r="269">
      <c r="A269" s="15" t="inlineStr">
        <is>
          <t>HR-06</t>
        </is>
      </c>
      <c r="B269" s="16" t="inlineStr">
        <is>
          <t>Payroll</t>
        </is>
      </c>
      <c r="C269" s="17" t="inlineStr">
        <is>
          <t>Application</t>
        </is>
      </c>
      <c r="D269" s="16" t="inlineStr">
        <is>
          <t>Human Resources; Payroll expense</t>
        </is>
      </c>
      <c r="E26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9" s="16" t="inlineStr">
        <is>
          <t>Authorization/Segregation of Duties</t>
        </is>
      </c>
      <c r="G26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9" s="17" t="inlineStr">
        <is>
          <t>Prev</t>
        </is>
      </c>
      <c r="I269" s="17" t="inlineStr">
        <is>
          <t>Automated</t>
        </is>
      </c>
      <c r="J269" s="17" t="inlineStr">
        <is>
          <t>Per comp change</t>
        </is>
      </c>
      <c r="K269" s="16" t="inlineStr">
        <is>
          <t>HR / People Ops; HR Admin / Exec (approve)</t>
        </is>
      </c>
      <c r="L269" s="17" t="inlineStr">
        <is>
          <t>P10</t>
        </is>
      </c>
      <c r="M26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9" s="16" t="inlineStr">
        <is>
          <t>Inspect the new_salary-within-[min,max] band check, the OUT_OF_BAND block + hr_admin/exec override audit row, the approved_by != requested_by self-approval guard, and that the employee monthly_salary is updated only on approval.</t>
        </is>
      </c>
      <c r="O26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9" s="16" t="inlineStr">
        <is>
          <t>pay_grades band register + comp-change approval log (OUT_OF_BAND override + SoD test) + benefit enrolment register</t>
        </is>
      </c>
      <c r="Q269" s="18" t="inlineStr">
        <is>
          <t>Implemented</t>
        </is>
      </c>
    </row>
    <row r="270">
      <c r="A270" s="11" t="inlineStr">
        <is>
          <t>HR-08</t>
        </is>
      </c>
      <c r="B270" s="12" t="inlineStr">
        <is>
          <t>Payroll</t>
        </is>
      </c>
      <c r="C270" s="13" t="inlineStr">
        <is>
          <t>Application</t>
        </is>
      </c>
      <c r="D270" s="12" t="inlineStr">
        <is>
          <t>Human Resources (employee master data); Payroll expense</t>
        </is>
      </c>
      <c r="E27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0" s="12" t="inlineStr">
        <is>
          <t>Authorization/Segregation of Duties</t>
        </is>
      </c>
      <c r="G27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0" s="13" t="inlineStr">
        <is>
          <t>Prev</t>
        </is>
      </c>
      <c r="I270" s="13" t="inlineStr">
        <is>
          <t>Automated</t>
        </is>
      </c>
      <c r="J270" s="13" t="inlineStr">
        <is>
          <t>Per profile change</t>
        </is>
      </c>
      <c r="K270" s="12" t="inlineStr">
        <is>
          <t>Employee (self-service); HR / HR Admin (approve)</t>
        </is>
      </c>
      <c r="L270" s="13" t="inlineStr">
        <is>
          <t>P10</t>
        </is>
      </c>
      <c r="M27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0" s="12" t="inlineStr">
        <is>
          <t>Inspect the sensitive-field pending gate, the approved_by != requested_by self-approval guard, the employee-master write only on approval, the ESSPROFILE before/after audit row, own-scope emp_code resolution from the JWT, and the isSafeObjectKey validation.</t>
        </is>
      </c>
      <c r="O27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0" s="12" t="inlineStr">
        <is>
          <t>ess_profile_change_requests approval log (SoD + before/after ESSPROFILE audit) + employee_documents register + own-scope isolation test</t>
        </is>
      </c>
      <c r="Q270" s="18" t="inlineStr">
        <is>
          <t>Implemented</t>
        </is>
      </c>
    </row>
    <row r="271">
      <c r="A271" s="15" t="inlineStr">
        <is>
          <t>HR-05</t>
        </is>
      </c>
      <c r="B271" s="16" t="inlineStr">
        <is>
          <t>Payroll</t>
        </is>
      </c>
      <c r="C271" s="17" t="inlineStr">
        <is>
          <t>Application</t>
        </is>
      </c>
      <c r="D271" s="16" t="inlineStr">
        <is>
          <t>Human Resources (joiner-mover-leaver / IT access)</t>
        </is>
      </c>
      <c r="E27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1" s="16" t="inlineStr">
        <is>
          <t>Authorization/Segregation of Duties</t>
        </is>
      </c>
      <c r="G27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1" s="17" t="inlineStr">
        <is>
          <t>Prev/Det</t>
        </is>
      </c>
      <c r="I271" s="17" t="inlineStr">
        <is>
          <t>Automated</t>
        </is>
      </c>
      <c r="J271" s="17" t="inlineStr">
        <is>
          <t>Per departure / periodic exception scan</t>
        </is>
      </c>
      <c r="K271" s="16" t="inlineStr">
        <is>
          <t>HR / People Ops; IT Security</t>
        </is>
      </c>
      <c r="L271" s="17" t="inlineStr">
        <is>
          <t>P10</t>
        </is>
      </c>
      <c r="M27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1" s="16" t="inlineStr">
        <is>
          <t>Inspect the access-revocation-pending count vs the completion gate, the hr_admin/exec + reason skip authorisation with its ACCESS_REVOCATION_SKIP audit row, and the offboarding-exceptions detective query.</t>
        </is>
      </c>
      <c r="O27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1" s="16" t="inlineStr">
        <is>
          <t>Offboarding checklist with the access-revocation completion gate + the ACCESS_REVOCATION_SKIP audit trail + the offboarding-exceptions exception register</t>
        </is>
      </c>
      <c r="Q271" s="18" t="inlineStr">
        <is>
          <t>Implemented</t>
        </is>
      </c>
    </row>
    <row r="272">
      <c r="A272" s="11" t="inlineStr">
        <is>
          <t>HR-04</t>
        </is>
      </c>
      <c r="B272" s="12" t="inlineStr">
        <is>
          <t>Payroll</t>
        </is>
      </c>
      <c r="C272" s="13" t="inlineStr">
        <is>
          <t>Application</t>
        </is>
      </c>
      <c r="D272" s="12" t="inlineStr">
        <is>
          <t>Human Resources (headcount / labour cost); Payroll expense</t>
        </is>
      </c>
      <c r="E27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2" s="12" t="inlineStr">
        <is>
          <t>Authorization/Segregation of Duties</t>
        </is>
      </c>
      <c r="G27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2" s="13" t="inlineStr">
        <is>
          <t>Prev</t>
        </is>
      </c>
      <c r="I272" s="13" t="inlineStr">
        <is>
          <t>Automated</t>
        </is>
      </c>
      <c r="J272" s="13" t="inlineStr">
        <is>
          <t>Per requisition / per offer / per hire</t>
        </is>
      </c>
      <c r="K272" s="12" t="inlineStr">
        <is>
          <t>HR / People Ops; Hiring Manager; Exec</t>
        </is>
      </c>
      <c r="L272" s="13" t="inlineStr">
        <is>
          <t>P10</t>
        </is>
      </c>
      <c r="M27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2" s="12" t="inlineStr">
        <is>
          <t>Inspect the requisition approve maker-checker (approver != requested_by), the requisition-approved gate on the offer/hire stages, the offer authorization (approver != created_by) before convert, and the headcount-bound hire that mints the employee.</t>
        </is>
      </c>
      <c r="O27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2" s="12" t="inlineStr">
        <is>
          <t>Requisition + offer approval log (JOBREQ/OFFER) + the recruiting register (requisitions/candidates/applications/offers); SoD + headcount test</t>
        </is>
      </c>
      <c r="Q272" s="18" t="inlineStr">
        <is>
          <t>Implemented</t>
        </is>
      </c>
    </row>
    <row r="273">
      <c r="A273" s="15" t="inlineStr">
        <is>
          <t>HR-09</t>
        </is>
      </c>
      <c r="B273" s="16" t="inlineStr">
        <is>
          <t>Payroll</t>
        </is>
      </c>
      <c r="C273" s="17" t="inlineStr">
        <is>
          <t>Application</t>
        </is>
      </c>
      <c r="D273" s="16" t="inlineStr">
        <is>
          <t>Human Resources; Workforce cost &amp; governance</t>
        </is>
      </c>
      <c r="E27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3" s="16" t="inlineStr">
        <is>
          <t>Monitoring/Analytical review</t>
        </is>
      </c>
      <c r="G27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3" s="17" t="inlineStr">
        <is>
          <t>Det</t>
        </is>
      </c>
      <c r="I273" s="17" t="inlineStr">
        <is>
          <t>Automated</t>
        </is>
      </c>
      <c r="J273" s="17" t="inlineStr">
        <is>
          <t>Periodic (scheduled workforce review — monthly/quarterly)</t>
        </is>
      </c>
      <c r="K273" s="16" t="inlineStr">
        <is>
          <t>HR / People Ops; Exec / Board</t>
        </is>
      </c>
      <c r="L273" s="17" t="inlineStr">
        <is>
          <t>P11</t>
        </is>
      </c>
      <c r="M27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3" s="16" t="inlineStr">
        <is>
          <t>Inspect that each report type is an idempotent read (no writes), is tenant-scoped (a T2 run returns only T2's workforce), and that the comp-ratio out-of-band flag and the leave-liability valuation reconcile to the pay_grades bands and leave_balances.</t>
        </is>
      </c>
      <c r="O27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3" s="16" t="inlineStr">
        <is>
          <t>The persisted report_runs payloads for the five workforce-analytics report types (headcount/turnover/tenure/comp-ratio/leave-liability) + the scheduled-report subscriptions</t>
        </is>
      </c>
      <c r="Q273" s="18" t="inlineStr">
        <is>
          <t>Implemented</t>
        </is>
      </c>
    </row>
    <row r="274">
      <c r="A274" s="11" t="inlineStr">
        <is>
          <t>HR-07</t>
        </is>
      </c>
      <c r="B274" s="12" t="inlineStr">
        <is>
          <t>Payroll</t>
        </is>
      </c>
      <c r="C274" s="13" t="inlineStr">
        <is>
          <t>Application</t>
        </is>
      </c>
      <c r="D274" s="12" t="inlineStr">
        <is>
          <t>Human Resources (mandatory training / competency); Compliance</t>
        </is>
      </c>
      <c r="E27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4" s="12" t="inlineStr">
        <is>
          <t>Completeness/Accuracy</t>
        </is>
      </c>
      <c r="G27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4" s="13" t="inlineStr">
        <is>
          <t>Prev/Det</t>
        </is>
      </c>
      <c r="I274" s="13" t="inlineStr">
        <is>
          <t>Automated</t>
        </is>
      </c>
      <c r="J274" s="13" t="inlineStr">
        <is>
          <t>Per completion; periodic compliance review</t>
        </is>
      </c>
      <c r="K274" s="12" t="inlineStr">
        <is>
          <t>HR / People Ops; HR Admin / Exec</t>
        </is>
      </c>
      <c r="L274" s="13" t="inlineStr">
        <is>
          <t>P10</t>
        </is>
      </c>
      <c r="M27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4" s="12" t="inlineStr">
        <is>
          <t>Training register (courses/sessions/enrollments) + certification register with expiry + the TRAINCERT mint log + the expired/expiring compliance report</t>
        </is>
      </c>
      <c r="Q274" s="18" t="inlineStr">
        <is>
          <t>Implemented</t>
        </is>
      </c>
    </row>
  </sheetData>
  <autoFilter ref="A1:Q2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COUNTIF(RCM!$Q$2:$Q$274,B5)</f>
        <v/>
      </c>
    </row>
    <row r="6">
      <c r="B6" s="27" t="inlineStr">
        <is>
          <t>Partial</t>
        </is>
      </c>
      <c r="C6" s="26">
        <f>COUNTIF(RCM!$Q$2:$Q$274,B6)</f>
        <v/>
      </c>
    </row>
    <row r="7">
      <c r="B7" s="28" t="inlineStr">
        <is>
          <t>Gap</t>
        </is>
      </c>
      <c r="C7" s="26">
        <f>COUNTIF(RCM!$Q$2:$Q$274,B7)</f>
        <v/>
      </c>
    </row>
    <row r="8">
      <c r="B8" s="29" t="inlineStr">
        <is>
          <t>Total</t>
        </is>
      </c>
      <c r="C8" s="29">
        <f>COUNTA(RCM!$A$2:$A$274)</f>
        <v/>
      </c>
    </row>
    <row r="10">
      <c r="B10" s="24" t="inlineStr">
        <is>
          <t>By Category</t>
        </is>
      </c>
    </row>
    <row r="11">
      <c r="B11" s="26" t="inlineStr">
        <is>
          <t>Entity</t>
        </is>
      </c>
      <c r="C11" s="26">
        <f>COUNTIF(RCM!$C$2:$C$274,B11)</f>
        <v/>
      </c>
    </row>
    <row r="12">
      <c r="B12" s="26" t="inlineStr">
        <is>
          <t>ITGC</t>
        </is>
      </c>
      <c r="C12" s="26">
        <f>COUNTIF(RCM!$C$2:$C$274,B12)</f>
        <v/>
      </c>
    </row>
    <row r="13">
      <c r="B13" s="26" t="inlineStr">
        <is>
          <t>Application</t>
        </is>
      </c>
      <c r="C13" s="26">
        <f>COUNTIF(RCM!$C$2:$C$274,B13)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2026-07-12T22:51:49Z</dcterms:created>
  <dcterms:modified xsi:type="dcterms:W3CDTF">2026-07-12T22:51:50Z</dcterms:modified>
</cp:coreProperties>
</file>