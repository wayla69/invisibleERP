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'RCM'!$A$1:$Q$201</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FA-07</t>
        </is>
      </c>
      <c r="B167" s="16" t="inlineStr">
        <is>
          <t>Fixed Assets</t>
        </is>
      </c>
      <c r="C167" s="17" t="inlineStr">
        <is>
          <t>Application</t>
        </is>
      </c>
      <c r="D167" s="16" t="inlineStr">
        <is>
          <t>Property, Plant &amp; Equipment; Equity</t>
        </is>
      </c>
      <c r="E167" s="16" t="inlineStr">
        <is>
          <t>Carrying amount not adjusted for revaluation/impairment — asset over/understated.</t>
        </is>
      </c>
      <c r="F167" s="16" t="inlineStr">
        <is>
          <t>Valuation</t>
        </is>
      </c>
      <c r="G16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7" s="17" t="inlineStr">
        <is>
          <t>Det</t>
        </is>
      </c>
      <c r="I167" s="17" t="inlineStr">
        <is>
          <t>Automated</t>
        </is>
      </c>
      <c r="J167" s="17" t="inlineStr">
        <is>
          <t>Per event</t>
        </is>
      </c>
      <c r="K167" s="16" t="inlineStr">
        <is>
          <t>FaAccountant / Controller</t>
        </is>
      </c>
      <c r="L167" s="17" t="inlineStr">
        <is>
          <t>P10</t>
        </is>
      </c>
      <c r="M167" s="16" t="inlineStr">
        <is>
          <t>assets.service.ts (revalue up→3200 / down→5820, listRevaluations; dispose recycles surplus 3200→3100); assets.controller.ts (exec/creditors); schema/assets.ts (asset_revaluations) + migration 0120; cutover/basics.ts (ToE)</t>
        </is>
      </c>
      <c r="N167" s="16" t="inlineStr">
        <is>
          <t>Inspect revaluation/impairment routing + audit log + disposal recycling.</t>
        </is>
      </c>
      <c r="O167" s="16" t="inlineStr">
        <is>
          <t>Upward revaluation credits 3200; impairment debits 5820; no-change → NO_CHANGE; both events logged; on disposal the revaluation surplus is recycled to retained earnings (Dr 3200 / Cr 3100), not through P&amp;L (re-performed by the harness).</t>
        </is>
      </c>
      <c r="P167" s="16" t="inlineStr">
        <is>
          <t>Revaluation log; disposal recycling JE</t>
        </is>
      </c>
      <c r="Q167" s="18" t="inlineStr">
        <is>
          <t>Implemented</t>
        </is>
      </c>
    </row>
    <row r="168">
      <c r="A168" s="11" t="inlineStr">
        <is>
          <t>FA-08</t>
        </is>
      </c>
      <c r="B168" s="12" t="inlineStr">
        <is>
          <t>Fixed Assets</t>
        </is>
      </c>
      <c r="C168" s="13" t="inlineStr">
        <is>
          <t>Application</t>
        </is>
      </c>
      <c r="D168" s="12" t="inlineStr">
        <is>
          <t>Property, Plant &amp; Equipment; Equity</t>
        </is>
      </c>
      <c r="E168" s="12" t="inlineStr">
        <is>
          <t>Carrying amount changed by fair-value revaluation/impairment without independent review — the preparer revalues the asset and posts to equity/P&amp;L on their own (earnings/equity management).</t>
        </is>
      </c>
      <c r="F168" s="12" t="inlineStr">
        <is>
          <t>Authorization</t>
        </is>
      </c>
      <c r="G16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8" s="13" t="inlineStr">
        <is>
          <t>Prev</t>
        </is>
      </c>
      <c r="I168" s="13" t="inlineStr">
        <is>
          <t>Automated</t>
        </is>
      </c>
      <c r="J168" s="13" t="inlineStr">
        <is>
          <t>Per event</t>
        </is>
      </c>
      <c r="K168" s="12" t="inlineStr">
        <is>
          <t>FaAccountant / Controller</t>
        </is>
      </c>
      <c r="L168" s="13" t="inlineStr">
        <is>
          <t>P10</t>
        </is>
      </c>
      <c r="M168" s="12" t="inlineStr">
        <is>
          <t>assets.service.ts revalue(pendingApproval Draft)/approveRevaluation/rejectRevaluation; assets.controller.ts (:assetNo/revalue/approve|reject); schema/assets.ts asset_revaluations.status + migration 0134; cutover/basics.ts + compliance.ts (ToE)</t>
        </is>
      </c>
      <c r="N168" s="12" t="inlineStr">
        <is>
          <t>Inspect Draft→approve flow + the approver≠preparer check + deferred carrying-value update.</t>
        </is>
      </c>
      <c r="O168" s="12" t="inlineStr">
        <is>
          <t>Re-perform: request a revaluation (Draft JE excluded from 3200), attempt self-approve (SOD_VIOLATION), approve as a different user; confirm the surplus/impairment + carrying value move only after approval (re-performed by the harnesses).</t>
        </is>
      </c>
      <c r="P168" s="12" t="inlineStr">
        <is>
          <t>Revaluation approval log + SoD test</t>
        </is>
      </c>
      <c r="Q168" s="18" t="inlineStr">
        <is>
          <t>Implemented</t>
        </is>
      </c>
    </row>
    <row r="169">
      <c r="A169" s="15" t="inlineStr">
        <is>
          <t>LSE-01</t>
        </is>
      </c>
      <c r="B169" s="16" t="inlineStr">
        <is>
          <t>Leases</t>
        </is>
      </c>
      <c r="C169" s="17" t="inlineStr">
        <is>
          <t>Application</t>
        </is>
      </c>
      <c r="D169" s="16" t="inlineStr">
        <is>
          <t>Right-of-use assets; Lease liabilities</t>
        </is>
      </c>
      <c r="E169" s="16" t="inlineStr">
        <is>
          <t>Lease not capitalised (IFRS 16 / TFRS 16) — ROU asset + lease liability omitted; interest/depreciation mis-stated.</t>
        </is>
      </c>
      <c r="F169" s="16" t="inlineStr">
        <is>
          <t>Completeness/Accuracy/Valuation</t>
        </is>
      </c>
      <c r="G16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9" s="17" t="inlineStr">
        <is>
          <t>Det</t>
        </is>
      </c>
      <c r="I169" s="17" t="inlineStr">
        <is>
          <t>Automated</t>
        </is>
      </c>
      <c r="J169" s="17" t="inlineStr">
        <is>
          <t>Per period / per lease</t>
        </is>
      </c>
      <c r="K169" s="16" t="inlineStr">
        <is>
          <t>Controller</t>
        </is>
      </c>
      <c r="L169" s="17" t="inlineStr">
        <is>
          <t>P10</t>
        </is>
      </c>
      <c r="M169" s="16" t="inlineStr">
        <is>
          <t>leases.service.ts (createLease PV recognition, runDueLeases interest+payment+depreciation, modifyLease remeasurement); leases.controller.ts (gl_post); bi.service.ts (lease_periodic_run); schema/leases.ts (leases, rou_nbv) + migration 0120/0121; cutover/basics.ts (ToE)</t>
        </is>
      </c>
      <c r="N169" s="16" t="inlineStr">
        <is>
          <t>Inspect PV recognition + periodic interest/payment/depreciation + final-period clearing + modification remeasurement.</t>
        </is>
      </c>
      <c r="O16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9" s="16" t="inlineStr">
        <is>
          <t>Lease register; periodic run log; modification remeasurement</t>
        </is>
      </c>
      <c r="Q169" s="18" t="inlineStr">
        <is>
          <t>Implemented</t>
        </is>
      </c>
    </row>
    <row r="170">
      <c r="A170" s="11" t="inlineStr">
        <is>
          <t>REC-01</t>
        </is>
      </c>
      <c r="B170" s="12" t="inlineStr">
        <is>
          <t>Reconciliation</t>
        </is>
      </c>
      <c r="C170" s="13" t="inlineStr">
        <is>
          <t>Application</t>
        </is>
      </c>
      <c r="D170" s="12" t="inlineStr">
        <is>
          <t>All</t>
        </is>
      </c>
      <c r="E170" s="12" t="inlineStr">
        <is>
          <t>Subledgers diverge from GL undetected.</t>
        </is>
      </c>
      <c r="F170" s="12" t="inlineStr">
        <is>
          <t>Completeness/Accuracy</t>
        </is>
      </c>
      <c r="G170" s="12" t="inlineStr">
        <is>
          <t>Subledger-to-GL reconciliation per period: import GL, auto-match, certify (sign-off via 'approvals').</t>
        </is>
      </c>
      <c r="H170" s="13" t="inlineStr">
        <is>
          <t>Det</t>
        </is>
      </c>
      <c r="I170" s="13" t="inlineStr">
        <is>
          <t>Auto+Manual</t>
        </is>
      </c>
      <c r="J170" s="13" t="inlineStr">
        <is>
          <t>Monthly</t>
        </is>
      </c>
      <c r="K170" s="12" t="inlineStr">
        <is>
          <t>Controller</t>
        </is>
      </c>
      <c r="L170" s="13" t="inlineStr">
        <is>
          <t>P16</t>
        </is>
      </c>
      <c r="M170" s="12" t="inlineStr">
        <is>
          <t>reconciliation.service.ts (importGlItems/autoMatch/certify)</t>
        </is>
      </c>
      <c r="N170" s="12" t="inlineStr">
        <is>
          <t>Inspect recon + certify gate.</t>
        </is>
      </c>
      <c r="O170" s="12" t="inlineStr">
        <is>
          <t>Sample periods: reconciled, unmatched cleared, certified.</t>
        </is>
      </c>
      <c r="P170" s="12" t="inlineStr">
        <is>
          <t>Certified recon</t>
        </is>
      </c>
      <c r="Q170" s="18" t="inlineStr">
        <is>
          <t>Implemented</t>
        </is>
      </c>
    </row>
    <row r="171">
      <c r="A171" s="15" t="inlineStr">
        <is>
          <t>REC-02</t>
        </is>
      </c>
      <c r="B171" s="16" t="inlineStr">
        <is>
          <t>Reconciliation</t>
        </is>
      </c>
      <c r="C171" s="17" t="inlineStr">
        <is>
          <t>Application</t>
        </is>
      </c>
      <c r="D171" s="16" t="inlineStr">
        <is>
          <t>Cash</t>
        </is>
      </c>
      <c r="E171" s="16" t="inlineStr">
        <is>
          <t>Bank balance not reconciled to GL.</t>
        </is>
      </c>
      <c r="F171" s="16" t="inlineStr">
        <is>
          <t>Existence/Completeness</t>
        </is>
      </c>
      <c r="G171" s="16" t="inlineStr">
        <is>
          <t>Bank reconciliation against statements.</t>
        </is>
      </c>
      <c r="H171" s="17" t="inlineStr">
        <is>
          <t>Det</t>
        </is>
      </c>
      <c r="I171" s="17" t="inlineStr">
        <is>
          <t>Auto+Manual</t>
        </is>
      </c>
      <c r="J171" s="17" t="inlineStr">
        <is>
          <t>Monthly</t>
        </is>
      </c>
      <c r="K171" s="16" t="inlineStr">
        <is>
          <t>Controller</t>
        </is>
      </c>
      <c r="L171" s="17" t="inlineStr">
        <is>
          <t>P16</t>
        </is>
      </c>
      <c r="M171" s="16" t="inlineStr">
        <is>
          <t>bank module; drizzle/0015_bank_reconciliation</t>
        </is>
      </c>
      <c r="N171" s="16" t="inlineStr">
        <is>
          <t>Inspect bank-rec process.</t>
        </is>
      </c>
      <c r="O171" s="16" t="inlineStr">
        <is>
          <t>Sample months reconciled &amp; reviewed.</t>
        </is>
      </c>
      <c r="P171" s="16" t="inlineStr">
        <is>
          <t>Bank rec</t>
        </is>
      </c>
      <c r="Q171" s="18" t="inlineStr">
        <is>
          <t>Implemented</t>
        </is>
      </c>
    </row>
    <row r="172">
      <c r="A172" s="11" t="inlineStr">
        <is>
          <t>BANK-02</t>
        </is>
      </c>
      <c r="B172" s="12" t="inlineStr">
        <is>
          <t>Cash &amp; Treasury</t>
        </is>
      </c>
      <c r="C172" s="13" t="inlineStr">
        <is>
          <t>Application</t>
        </is>
      </c>
      <c r="D172" s="12" t="inlineStr">
        <is>
          <t>Cash; Operating expense; Interest income</t>
        </is>
      </c>
      <c r="E172" s="12" t="inlineStr">
        <is>
          <t>A bank fee/interest adjustment is posted straight to the GL by one person during reconciliation — a cash outflow mis-booked as interest income, or a fictitious fee posted, with no independent review (single-person posting to the cash account).</t>
        </is>
      </c>
      <c r="F172" s="12" t="inlineStr">
        <is>
          <t>Authorization/Accuracy</t>
        </is>
      </c>
      <c r="G17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2" s="13" t="inlineStr">
        <is>
          <t>Prev</t>
        </is>
      </c>
      <c r="I172" s="13" t="inlineStr">
        <is>
          <t>Automated</t>
        </is>
      </c>
      <c r="J172" s="13" t="inlineStr">
        <is>
          <t>Per adjustment</t>
        </is>
      </c>
      <c r="K172" s="12" t="inlineStr">
        <is>
          <t>Controller</t>
        </is>
      </c>
      <c r="L172" s="13" t="inlineStr">
        <is>
          <t>P10</t>
        </is>
      </c>
      <c r="M172" s="12" t="inlineStr">
        <is>
          <t>bank.service.ts requestAdjustment/approveAdjustment/rejectAdjustment/listPendingAdjustments (reuses ledger.approveEntry SoD); bank.controller.ts (lines/:id/adjustment requests; adjustment/approve|reject gated approvals/gl_close); cutover/bankrec.ts (ToE)</t>
        </is>
      </c>
      <c r="N172" s="12" t="inlineStr">
        <is>
          <t>Inspect the request→approve flow + the approver≠requester check + that the Draft posts nothing until approval.</t>
        </is>
      </c>
      <c r="O172" s="12" t="inlineStr">
        <is>
          <t>Re-perform: request a fee adjustment (line unreconciled, GL difference unchanged), attempt self-approve (SOD_VIOLATION), approve as a different user; confirm the difference closes to 0 only after approval (re-performed by the bankrec harness).</t>
        </is>
      </c>
      <c r="P172" s="12" t="inlineStr">
        <is>
          <t>Bank adjustment queue + SoD test</t>
        </is>
      </c>
      <c r="Q172" s="18" t="inlineStr">
        <is>
          <t>Implemented</t>
        </is>
      </c>
    </row>
    <row r="173">
      <c r="A173" s="15" t="inlineStr">
        <is>
          <t>REC-03</t>
        </is>
      </c>
      <c r="B173" s="16" t="inlineStr">
        <is>
          <t>Reconciliation</t>
        </is>
      </c>
      <c r="C173" s="17" t="inlineStr">
        <is>
          <t>Application</t>
        </is>
      </c>
      <c r="D173" s="16" t="inlineStr">
        <is>
          <t>Consolidation</t>
        </is>
      </c>
      <c r="E173" s="16" t="inlineStr">
        <is>
          <t>Intercompany balances eliminated without an independent reconciliation sign-off.</t>
        </is>
      </c>
      <c r="F173" s="16" t="inlineStr">
        <is>
          <t>Accuracy</t>
        </is>
      </c>
      <c r="G17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3" s="17" t="inlineStr">
        <is>
          <t>Det</t>
        </is>
      </c>
      <c r="I173" s="17" t="inlineStr">
        <is>
          <t>Auto+Manual</t>
        </is>
      </c>
      <c r="J173" s="17" t="inlineStr">
        <is>
          <t>Period</t>
        </is>
      </c>
      <c r="K173" s="16" t="inlineStr">
        <is>
          <t>Group Controller</t>
        </is>
      </c>
      <c r="L173" s="17" t="inlineStr">
        <is>
          <t>P16</t>
        </is>
      </c>
      <c r="M173" s="16" t="inlineStr">
        <is>
          <t>modules/ic-reconciliation/ic-recon.service.ts (prepare/approve, SoD + eliminates gate); consolidation.service.ts runConsolidation (IC_RECON_NOT_APPROVED gate); ic_recon_periods (0205, RLS); cutover/consolidation.ts (ToE)</t>
        </is>
      </c>
      <c r="N173" s="16" t="inlineStr">
        <is>
          <t>Inspect the per-period IC reconciliation sign-off + the consolidation gate.</t>
        </is>
      </c>
      <c r="O173" s="16" t="inlineStr">
        <is>
          <t>Re-perform: consolidation is blocked before sign-off (IC_RECON_NOT_APPROVED); the preparer cannot approve their own reconciliation (SOD_VIOLATION); an independent approver signs off (balances eliminate) → consolidation proceeds.</t>
        </is>
      </c>
      <c r="P173" s="16" t="inlineStr">
        <is>
          <t>IC reconciliation sign-off + consolidation gate ToE</t>
        </is>
      </c>
      <c r="Q173" s="18" t="inlineStr">
        <is>
          <t>Implemented</t>
        </is>
      </c>
    </row>
    <row r="174">
      <c r="A174" s="11" t="inlineStr">
        <is>
          <t>REC-04</t>
        </is>
      </c>
      <c r="B174" s="12" t="inlineStr">
        <is>
          <t>Reconciliation</t>
        </is>
      </c>
      <c r="C174" s="13" t="inlineStr">
        <is>
          <t>Application</t>
        </is>
      </c>
      <c r="D174" s="12" t="inlineStr">
        <is>
          <t>All control accounts</t>
        </is>
      </c>
      <c r="E174" s="12" t="inlineStr">
        <is>
          <t>A sub-ledger silently drifts from its GL control account at period-end and no single review catches it (incomplete/inaccurate balances reach the financial statements).</t>
        </is>
      </c>
      <c r="F174" s="12" t="inlineStr">
        <is>
          <t>Completeness/Accuracy</t>
        </is>
      </c>
      <c r="G17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4" s="13" t="inlineStr">
        <is>
          <t>Det</t>
        </is>
      </c>
      <c r="I174" s="13" t="inlineStr">
        <is>
          <t>Automated</t>
        </is>
      </c>
      <c r="J174" s="13" t="inlineStr">
        <is>
          <t>Period / on demand</t>
        </is>
      </c>
      <c r="K174" s="12" t="inlineStr">
        <is>
          <t>Controller / CFO</t>
        </is>
      </c>
      <c r="L174" s="13" t="inlineStr">
        <is>
          <t>P16</t>
        </is>
      </c>
      <c r="M174" s="12" t="inlineStr">
        <is>
          <t>finance.service.ts reconcileControls; finance.controller.ts GET reconciliation/controls (exec/ar/creditors); reuses ledger.trialBalance + the AR/AP/inventory/gift-card/deferred sub-ledgers; cutover/giftcards.ts + compliance.ts (ToE)</t>
        </is>
      </c>
      <c r="N174" s="12" t="inlineStr">
        <is>
          <t>Inspect the pack: each control account's sub-ledger query + the GL tie + the exceptions roll-up.</t>
        </is>
      </c>
      <c r="O174" s="12" t="inlineStr">
        <is>
          <t>Re-perform: with a clean set, every line reconciled + all_reconciled=true; introduce a known sub-ledger/GL difference and confirm it surfaces as an exception (re-performed: gift-card 2200 + inventory 1200 ties asserted by the harnesses).</t>
        </is>
      </c>
      <c r="P174" s="12" t="inlineStr">
        <is>
          <t>Reconciliation pack; exceptions list</t>
        </is>
      </c>
      <c r="Q174" s="18" t="inlineStr">
        <is>
          <t>Implemented</t>
        </is>
      </c>
    </row>
    <row r="175">
      <c r="A175" s="15" t="inlineStr">
        <is>
          <t>REC-05</t>
        </is>
      </c>
      <c r="B175" s="16" t="inlineStr">
        <is>
          <t>Reconciliation</t>
        </is>
      </c>
      <c r="C175" s="17" t="inlineStr">
        <is>
          <t>Application</t>
        </is>
      </c>
      <c r="D175" s="16" t="inlineStr">
        <is>
          <t>Cash; Bank</t>
        </is>
      </c>
      <c r="E175" s="16" t="inlineStr">
        <is>
          <t>Till cash dropped to the safe never reaches the bank, or a deposit isn't matched to the statement — cash sits unbanked (theft/loss exposure) or the bank balance can't be tied to the books.</t>
        </is>
      </c>
      <c r="F175" s="16" t="inlineStr">
        <is>
          <t>Completeness/Existence/Authorization</t>
        </is>
      </c>
      <c r="G17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5" s="17" t="inlineStr">
        <is>
          <t>Det/Prev</t>
        </is>
      </c>
      <c r="I175" s="17" t="inlineStr">
        <is>
          <t>Auto+Manual</t>
        </is>
      </c>
      <c r="J175" s="17" t="inlineStr">
        <is>
          <t>Per banking run</t>
        </is>
      </c>
      <c r="K175" s="16" t="inlineStr">
        <is>
          <t>FinancialController / Treasury</t>
        </is>
      </c>
      <c r="L175" s="17" t="inlineStr">
        <is>
          <t>P16</t>
        </is>
      </c>
      <c r="M17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5" s="16" t="inlineStr">
        <is>
          <t>Inspect the undeposited-drop exposure read + the deposit GL (bank↔1000) + the reconcile step + the SoD (cashier vs treasury).</t>
        </is>
      </c>
      <c r="O175" s="16" t="inlineStr">
        <is>
          <t>Re-perform: two till drops → cash-in-safe shows the total; a cashier (pos_till) cannot bank (403); treasury banks → Dr bank / Cr 1000, cash-in-safe back to 0; reconcile the deposit; trial balance balanced (re-performed by the cash-banking harness).</t>
        </is>
      </c>
      <c r="P175" s="16" t="inlineStr">
        <is>
          <t>Bank-deposit register; undeposited-drop (cash-in-safe) exposure</t>
        </is>
      </c>
      <c r="Q175" s="18" t="inlineStr">
        <is>
          <t>Implemented</t>
        </is>
      </c>
    </row>
    <row r="176">
      <c r="A176" s="11" t="inlineStr">
        <is>
          <t>TR-01</t>
        </is>
      </c>
      <c r="B176" s="12" t="inlineStr">
        <is>
          <t>Cash &amp; Treasury</t>
        </is>
      </c>
      <c r="C176" s="13" t="inlineStr">
        <is>
          <t>Detective</t>
        </is>
      </c>
      <c r="D176" s="12" t="inlineStr">
        <is>
          <t>Cash; Bank</t>
        </is>
      </c>
      <c r="E17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6" s="12" t="inlineStr">
        <is>
          <t>Completeness/Accuracy</t>
        </is>
      </c>
      <c r="G17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6" s="13" t="inlineStr">
        <is>
          <t>Det</t>
        </is>
      </c>
      <c r="I176" s="13" t="inlineStr">
        <is>
          <t>Hybrid</t>
        </is>
      </c>
      <c r="J176" s="13" t="inlineStr">
        <is>
          <t>Weekly / per treasury review</t>
        </is>
      </c>
      <c r="K176" s="12" t="inlineStr">
        <is>
          <t>Treasurer / Controller</t>
        </is>
      </c>
      <c r="L176" s="13" t="inlineStr">
        <is>
          <t>P16</t>
        </is>
      </c>
      <c r="M17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6" s="12" t="inlineStr">
        <is>
          <t>Inspect the cash/bank position (ties to the trial balance), the 13-week forecast + projected trough, the liquidity KPIs, and the FX exposure by currency.</t>
        </is>
      </c>
      <c r="O17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6" s="12" t="inlineStr">
        <is>
          <t>Cash-position / treasury board (finance/metrics/cash/position); harness ToE (finance-kpi)</t>
        </is>
      </c>
      <c r="Q176" s="18" t="inlineStr">
        <is>
          <t>Implemented</t>
        </is>
      </c>
    </row>
    <row r="177">
      <c r="A177" s="15" t="inlineStr">
        <is>
          <t>GOV-01</t>
        </is>
      </c>
      <c r="B177" s="16" t="inlineStr">
        <is>
          <t>Monitoring</t>
        </is>
      </c>
      <c r="C177" s="17" t="inlineStr">
        <is>
          <t>Application</t>
        </is>
      </c>
      <c r="D177" s="16" t="inlineStr">
        <is>
          <t>All</t>
        </is>
      </c>
      <c r="E177" s="16" t="inlineStr">
        <is>
          <t>A maker-checker approval sits un-actioned and is forgotten — a transaction stalls before it is effective, or (worse) a control is quietly bypassed and no one notices an item never got its independent review.</t>
        </is>
      </c>
      <c r="F177" s="16" t="inlineStr">
        <is>
          <t>Authorization/Completeness</t>
        </is>
      </c>
      <c r="G17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7" s="17" t="inlineStr">
        <is>
          <t>Det</t>
        </is>
      </c>
      <c r="I177" s="17" t="inlineStr">
        <is>
          <t>Automated</t>
        </is>
      </c>
      <c r="J177" s="17" t="inlineStr">
        <is>
          <t>Continuous / pre-close</t>
        </is>
      </c>
      <c r="K177" s="16" t="inlineStr">
        <is>
          <t>Controller / CFO</t>
        </is>
      </c>
      <c r="L177" s="17" t="inlineStr">
        <is>
          <t>P16</t>
        </is>
      </c>
      <c r="M17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7" s="16" t="inlineStr">
        <is>
          <t>Inspect the aggregation across all pending sources + the age/overdue roll-up.</t>
        </is>
      </c>
      <c r="O177" s="16" t="inlineStr">
        <is>
          <t>Re-perform: create a pending item (e.g. a Draft JE) and confirm it appears in the worklist with its control ID, amount and age; the overdue count flags items past the threshold (re-performed by the harness).</t>
        </is>
      </c>
      <c r="P177" s="16" t="inlineStr">
        <is>
          <t>Pending-approvals worklist</t>
        </is>
      </c>
      <c r="Q177" s="18" t="inlineStr">
        <is>
          <t>Implemented</t>
        </is>
      </c>
    </row>
    <row r="178">
      <c r="A178" s="11" t="inlineStr">
        <is>
          <t>TAX-01</t>
        </is>
      </c>
      <c r="B178" s="12" t="inlineStr">
        <is>
          <t>Tax</t>
        </is>
      </c>
      <c r="C178" s="13" t="inlineStr">
        <is>
          <t>Application</t>
        </is>
      </c>
      <c r="D178" s="12" t="inlineStr">
        <is>
          <t>Tax (VAT)</t>
        </is>
      </c>
      <c r="E178" s="12" t="inlineStr">
        <is>
          <t>VAT computed incorrectly → filing/penalty risk.</t>
        </is>
      </c>
      <c r="F178" s="12" t="inlineStr">
        <is>
          <t>Accuracy</t>
        </is>
      </c>
      <c r="G178" s="12" t="inlineStr">
        <is>
          <t>VAT via pluggable provider (TH 7%); unit-tested; no hard-coded rate.</t>
        </is>
      </c>
      <c r="H178" s="13" t="inlineStr">
        <is>
          <t>Auto</t>
        </is>
      </c>
      <c r="I178" s="13" t="inlineStr">
        <is>
          <t>Automated</t>
        </is>
      </c>
      <c r="J178" s="13" t="inlineStr">
        <is>
          <t>Per txn</t>
        </is>
      </c>
      <c r="K178" s="12" t="inlineStr">
        <is>
          <t>Tax / Controller</t>
        </is>
      </c>
      <c r="L178" s="13" t="inlineStr">
        <is>
          <t>P10</t>
        </is>
      </c>
      <c r="M178" s="12" t="inlineStr">
        <is>
          <t>tax/tax-providers.ts; tax.service.ts; test/unit.test.ts</t>
        </is>
      </c>
      <c r="N178" s="12" t="inlineStr">
        <is>
          <t>Inspect rate provider + tests.</t>
        </is>
      </c>
      <c r="O178" s="12" t="inlineStr">
        <is>
          <t>Re-perform VAT on sample; tie to return.</t>
        </is>
      </c>
      <c r="P178" s="12" t="inlineStr">
        <is>
          <t>VAT tests</t>
        </is>
      </c>
      <c r="Q178" s="18" t="inlineStr">
        <is>
          <t>Implemented</t>
        </is>
      </c>
    </row>
    <row r="179">
      <c r="A179" s="15" t="inlineStr">
        <is>
          <t>TAX-02</t>
        </is>
      </c>
      <c r="B179" s="16" t="inlineStr">
        <is>
          <t>Tax</t>
        </is>
      </c>
      <c r="C179" s="17" t="inlineStr">
        <is>
          <t>Application</t>
        </is>
      </c>
      <c r="D179" s="16" t="inlineStr">
        <is>
          <t>Tax; Revenue</t>
        </is>
      </c>
      <c r="E179" s="16" t="inlineStr">
        <is>
          <t>Non-compliant e-Tax invoice / not transmitted to ETDA, or a failed SP submission silently lost.</t>
        </is>
      </c>
      <c r="F179" s="16" t="inlineStr">
        <is>
          <t>Accuracy/Compliance</t>
        </is>
      </c>
      <c r="G17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9" s="17" t="inlineStr">
        <is>
          <t>Auto</t>
        </is>
      </c>
      <c r="I179" s="17" t="inlineStr">
        <is>
          <t>Automated</t>
        </is>
      </c>
      <c r="J179" s="17" t="inlineStr">
        <is>
          <t>Per invoice</t>
        </is>
      </c>
      <c r="K179" s="16" t="inlineStr">
        <is>
          <t>Tax</t>
        </is>
      </c>
      <c r="L179" s="17" t="inlineStr">
        <is>
          <t>P10/P13</t>
        </is>
      </c>
      <c r="M179" s="16" t="inlineStr">
        <is>
          <t>tax-docs/etax-xml.ts; etax-email.service.ts; pos-fiscal/etax.service.ts + etax-providers.ts (submit/retryFailed, tested); tax-docs/pdfa3.ts</t>
        </is>
      </c>
      <c r="N179" s="16" t="inlineStr">
        <is>
          <t>Inspect XML schema + email composer + submission log.</t>
        </is>
      </c>
      <c r="O179" s="16" t="inlineStr">
        <is>
          <t>Sample invoices: valid XML, correct CC/escaping; induce a submission failure and confirm it is retryable, not lost.</t>
        </is>
      </c>
      <c r="P179" s="16" t="inlineStr">
        <is>
          <t>e-Tax samples; submission log</t>
        </is>
      </c>
      <c r="Q179" s="18" t="inlineStr">
        <is>
          <t>Implemented</t>
        </is>
      </c>
    </row>
    <row r="180">
      <c r="A180" s="11" t="inlineStr">
        <is>
          <t>TAX-03</t>
        </is>
      </c>
      <c r="B180" s="12" t="inlineStr">
        <is>
          <t>Tax</t>
        </is>
      </c>
      <c r="C180" s="13" t="inlineStr">
        <is>
          <t>Application</t>
        </is>
      </c>
      <c r="D180" s="12" t="inlineStr">
        <is>
          <t>Tax (WHT)</t>
        </is>
      </c>
      <c r="E180" s="12" t="inlineStr">
        <is>
          <t>Withholding tax mis-computed, not withheld at payment, or not tied to the GL.</t>
        </is>
      </c>
      <c r="F180" s="12" t="inlineStr">
        <is>
          <t>Accuracy</t>
        </is>
      </c>
      <c r="G18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0" s="13" t="inlineStr">
        <is>
          <t>Auto</t>
        </is>
      </c>
      <c r="I180" s="13" t="inlineStr">
        <is>
          <t>Automated</t>
        </is>
      </c>
      <c r="J180" s="13" t="inlineStr">
        <is>
          <t>Per payment / monthly</t>
        </is>
      </c>
      <c r="K180" s="12" t="inlineStr">
        <is>
          <t>Tax</t>
        </is>
      </c>
      <c r="L180" s="13" t="inlineStr">
        <is>
          <t>P10</t>
        </is>
      </c>
      <c r="M18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0" s="12" t="inlineStr">
        <is>
          <t>Inspect the WHT-at-payment posting + the ภ.ง.ด.→GL tie-out + the scheduled auto-cert batch.</t>
        </is>
      </c>
      <c r="O18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0" s="12" t="inlineStr">
        <is>
          <t>WHT GL postings + ภ.ง.ด.→GL tie-out + scheduled 50-ทวิ auto-cert ToE</t>
        </is>
      </c>
      <c r="Q180" s="18" t="inlineStr">
        <is>
          <t>Implemented</t>
        </is>
      </c>
    </row>
    <row r="181">
      <c r="A181" s="15" t="inlineStr">
        <is>
          <t>TAX-04</t>
        </is>
      </c>
      <c r="B181" s="16" t="inlineStr">
        <is>
          <t>Tax</t>
        </is>
      </c>
      <c r="C181" s="17" t="inlineStr">
        <is>
          <t>Application</t>
        </is>
      </c>
      <c r="D181" s="16" t="inlineStr">
        <is>
          <t>Tax (VAT); Tax Payable (2100)</t>
        </is>
      </c>
      <c r="E181" s="16" t="inlineStr">
        <is>
          <t>Output/input VAT on the filed ภ.พ.30 return does not agree to the GL — VAT liability mis-stated, a filing/penalty exposure, or a posting omission goes undetected before submission.</t>
        </is>
      </c>
      <c r="F181" s="16" t="inlineStr">
        <is>
          <t>Completeness/Accuracy</t>
        </is>
      </c>
      <c r="G18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1" s="17" t="inlineStr">
        <is>
          <t>Det</t>
        </is>
      </c>
      <c r="I181" s="17" t="inlineStr">
        <is>
          <t>Automated</t>
        </is>
      </c>
      <c r="J181" s="17" t="inlineStr">
        <is>
          <t>Monthly / pre-filing</t>
        </is>
      </c>
      <c r="K181" s="16" t="inlineStr">
        <is>
          <t>Tax / FinancialController</t>
        </is>
      </c>
      <c r="L181" s="17" t="inlineStr">
        <is>
          <t>P10/P16</t>
        </is>
      </c>
      <c r="M181" s="16" t="inlineStr">
        <is>
          <t>tax-reports.service.ts pp30 (outputVat/inputVat + 2100 net-movement tie); tax-reports.controller.ts (GET pp30, pp30/export, exec); tax-reports-pdf.ts; dine-in.service.ts/returns.service.ts/finance.service.ts post 2100 on sale/return/AP; /tax/reports UI; cutover/taxdocs.ts (ToE)</t>
        </is>
      </c>
      <c r="N181" s="16" t="inlineStr">
        <is>
          <t>Inspect the pp30 build + the 2100 net-movement query + the tie flag + the filing deadline.</t>
        </is>
      </c>
      <c r="O18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1" s="16" t="inlineStr">
        <is>
          <t>ภ.พ.30 return + GL-2100 reconciliation tie</t>
        </is>
      </c>
      <c r="Q181" s="18" t="inlineStr">
        <is>
          <t>Implemented</t>
        </is>
      </c>
    </row>
    <row r="182">
      <c r="A182" s="11" t="inlineStr">
        <is>
          <t>TAX-05</t>
        </is>
      </c>
      <c r="B182" s="12" t="inlineStr">
        <is>
          <t>Tax</t>
        </is>
      </c>
      <c r="C182" s="13" t="inlineStr">
        <is>
          <t>Application</t>
        </is>
      </c>
      <c r="D182" s="12" t="inlineStr">
        <is>
          <t>Tax (VAT/WHT)</t>
        </is>
      </c>
      <c r="E18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2" s="12" t="inlineStr">
        <is>
          <t>Completeness/Accuracy/Cutoff</t>
        </is>
      </c>
      <c r="G18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2" s="13" t="inlineStr">
        <is>
          <t>Det/Prev</t>
        </is>
      </c>
      <c r="I182" s="13" t="inlineStr">
        <is>
          <t>Auto+Manual</t>
        </is>
      </c>
      <c r="J182" s="13" t="inlineStr">
        <is>
          <t>Monthly / per filing</t>
        </is>
      </c>
      <c r="K182" s="12" t="inlineStr">
        <is>
          <t>Tax / FinancialController</t>
        </is>
      </c>
      <c r="L182" s="13" t="inlineStr">
        <is>
          <t>P10/P16</t>
        </is>
      </c>
      <c r="M18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2" s="12" t="inlineStr">
        <is>
          <t>Inspect the filing snapshot + the DRAFT→SUBMITTED→ACCEPTED lifecycle + the mandatory submission reference + the no-overwrite-of-a-filed-return rule + the deadline calendar.</t>
        </is>
      </c>
      <c r="O18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2" s="12" t="inlineStr">
        <is>
          <t>thai_tax_filings register + remittance calendar</t>
        </is>
      </c>
      <c r="Q182" s="18" t="inlineStr">
        <is>
          <t>Implemented</t>
        </is>
      </c>
    </row>
    <row r="183">
      <c r="A183" s="15" t="inlineStr">
        <is>
          <t>TAX-06</t>
        </is>
      </c>
      <c r="B183" s="16" t="inlineStr">
        <is>
          <t>Tax</t>
        </is>
      </c>
      <c r="C183" s="17" t="inlineStr">
        <is>
          <t>Application</t>
        </is>
      </c>
      <c r="D183" s="16" t="inlineStr">
        <is>
          <t>Deferred Tax Asset (1700); Deferred Tax Liability (2700); Deferred Tax Expense (5950)</t>
        </is>
      </c>
      <c r="E18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3" s="16" t="inlineStr">
        <is>
          <t>Accuracy/Valuation/Completeness/Authorization/Segregation of Duties</t>
        </is>
      </c>
      <c r="G18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3" s="17" t="inlineStr">
        <is>
          <t>Prev</t>
        </is>
      </c>
      <c r="I183" s="17" t="inlineStr">
        <is>
          <t>Automated</t>
        </is>
      </c>
      <c r="J183" s="17" t="inlineStr">
        <is>
          <t>Quarterly / year-end</t>
        </is>
      </c>
      <c r="K183" s="16" t="inlineStr">
        <is>
          <t>Tax / Financial Controller</t>
        </is>
      </c>
      <c r="L183" s="17" t="inlineStr">
        <is>
          <t>P10</t>
        </is>
      </c>
      <c r="M18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3" s="16" t="inlineStr">
        <is>
          <t>Inspect the temp-difference gathering (allowance×rate DTA + accelerated-dep DTL with the documented tax-dep simplification), the delta-vs-prior-run, the SELF_POST maker-checker, and the 1700/5950 posting through the period-lock gate.</t>
        </is>
      </c>
      <c r="O18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3" s="16" t="inlineStr">
        <is>
          <t>deferred_tax_runs register (Open→Posted, temp-difference schedule, runner/poster); the DEFTAX JE to 1700/5950; quarterly/year-end deferred-tax sign-off</t>
        </is>
      </c>
      <c r="Q183" s="18" t="inlineStr">
        <is>
          <t>Implemented</t>
        </is>
      </c>
    </row>
    <row r="184">
      <c r="A184" s="11" t="inlineStr">
        <is>
          <t>TAX-07</t>
        </is>
      </c>
      <c r="B184" s="12" t="inlineStr">
        <is>
          <t>Tax</t>
        </is>
      </c>
      <c r="C184" s="13" t="inlineStr">
        <is>
          <t>Application</t>
        </is>
      </c>
      <c r="D184" s="12" t="inlineStr">
        <is>
          <t>Tax (VAT); Tax Payable (2100); Revenue (4000); Accounts Receivable (1100)</t>
        </is>
      </c>
      <c r="E18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4" s="12" t="inlineStr">
        <is>
          <t>Accuracy/Completeness/Occurrence/Authorization/Segregation of Duties</t>
        </is>
      </c>
      <c r="G18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4" s="13" t="inlineStr">
        <is>
          <t>Prev</t>
        </is>
      </c>
      <c r="I184" s="13" t="inlineStr">
        <is>
          <t>Automated</t>
        </is>
      </c>
      <c r="J184" s="13" t="inlineStr">
        <is>
          <t>Per note</t>
        </is>
      </c>
      <c r="K184" s="12" t="inlineStr">
        <is>
          <t>Tax / Financial Controller</t>
        </is>
      </c>
      <c r="L184" s="13" t="inlineStr">
        <is>
          <t>P10</t>
        </is>
      </c>
      <c r="M18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4" s="12" t="inlineStr">
        <is>
          <t>Inspect the reference/reason/credit-cap validation, the PendingApproval + Draft-GL issuance, the approver≠issuer SoD, and the signed output-VAT aggregation into the issue period.</t>
        </is>
      </c>
      <c r="O18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4" s="12" t="inlineStr">
        <is>
          <t>ใบลดหนี้/ใบเพิ่มหนี้ register (PendingApproval→Issued/Voided, original ref + reason, issuer/approver); the CN/DN JE to 4000/2100/1100; the signed output-VAT report row</t>
        </is>
      </c>
      <c r="Q184" s="18" t="inlineStr">
        <is>
          <t>Implemented</t>
        </is>
      </c>
    </row>
    <row r="185">
      <c r="A185" s="15" t="inlineStr">
        <is>
          <t>TAX-08</t>
        </is>
      </c>
      <c r="B185" s="16" t="inlineStr">
        <is>
          <t>Tax</t>
        </is>
      </c>
      <c r="C185" s="17" t="inlineStr">
        <is>
          <t>Application</t>
        </is>
      </c>
      <c r="D185" s="16" t="inlineStr">
        <is>
          <t>Input VAT (1300); PP36 VAT Payable (2120); Expense (5100)</t>
        </is>
      </c>
      <c r="E18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5" s="16" t="inlineStr">
        <is>
          <t>Completeness/Accuracy/Compliance</t>
        </is>
      </c>
      <c r="G18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5" s="17" t="inlineStr">
        <is>
          <t>Det</t>
        </is>
      </c>
      <c r="I185" s="17" t="inlineStr">
        <is>
          <t>Automated</t>
        </is>
      </c>
      <c r="J185" s="17" t="inlineStr">
        <is>
          <t>Per bill / monthly</t>
        </is>
      </c>
      <c r="K185" s="16" t="inlineStr">
        <is>
          <t>Tax</t>
        </is>
      </c>
      <c r="L185" s="17" t="inlineStr">
        <is>
          <t>P10</t>
        </is>
      </c>
      <c r="M18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5" s="16" t="inlineStr">
        <is>
          <t>Inspect the reverse_charge net booking + the Dr 1300 / Cr 2120 self-assessment leg, the ภ.พ.36 report + GL 2120 tie, and the filing/remittance-calendar wiring.</t>
        </is>
      </c>
      <c r="O18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5" s="16" t="inlineStr">
        <is>
          <t>ภ.พ.36 report + GL 2120 reconciliation tie; the self-assessment JE (1300/2120); the ภ.พ.36 filing register row + remittance calendar</t>
        </is>
      </c>
      <c r="Q185" s="18" t="inlineStr">
        <is>
          <t>Implemented</t>
        </is>
      </c>
    </row>
    <row r="186">
      <c r="A186" s="11" t="inlineStr">
        <is>
          <t>PAY-01</t>
        </is>
      </c>
      <c r="B186" s="12" t="inlineStr">
        <is>
          <t>Payroll</t>
        </is>
      </c>
      <c r="C186" s="13" t="inlineStr">
        <is>
          <t>Application</t>
        </is>
      </c>
      <c r="D186" s="12" t="inlineStr">
        <is>
          <t>Payroll expense/liability</t>
        </is>
      </c>
      <c r="E186" s="12" t="inlineStr">
        <is>
          <t>Payroll, SSO and PIT mis-computed.</t>
        </is>
      </c>
      <c r="F186" s="12" t="inlineStr">
        <is>
          <t>Accuracy</t>
        </is>
      </c>
      <c r="G186" s="12" t="inlineStr">
        <is>
          <t>Payroll engine — SSO 5% (cap 750), progressive PIT, payslip net; unit-tested.</t>
        </is>
      </c>
      <c r="H186" s="13" t="inlineStr">
        <is>
          <t>Auto</t>
        </is>
      </c>
      <c r="I186" s="13" t="inlineStr">
        <is>
          <t>Automated</t>
        </is>
      </c>
      <c r="J186" s="13" t="inlineStr">
        <is>
          <t>Per run</t>
        </is>
      </c>
      <c r="K186" s="12" t="inlineStr">
        <is>
          <t>HR / Payroll</t>
        </is>
      </c>
      <c r="L186" s="13" t="inlineStr">
        <is>
          <t>P10</t>
        </is>
      </c>
      <c r="M186" s="12" t="inlineStr">
        <is>
          <t>payroll/payroll-calc.ts; test/unit.test.ts</t>
        </is>
      </c>
      <c r="N186" s="12" t="inlineStr">
        <is>
          <t>Inspect calc + tests.</t>
        </is>
      </c>
      <c r="O186" s="12" t="inlineStr">
        <is>
          <t>Re-perform sample payslips.</t>
        </is>
      </c>
      <c r="P186" s="12" t="inlineStr">
        <is>
          <t>Payslip tests</t>
        </is>
      </c>
      <c r="Q186" s="18" t="inlineStr">
        <is>
          <t>Implemented</t>
        </is>
      </c>
    </row>
    <row r="187">
      <c r="A187" s="15" t="inlineStr">
        <is>
          <t>PAY-02</t>
        </is>
      </c>
      <c r="B187" s="16" t="inlineStr">
        <is>
          <t>Payroll</t>
        </is>
      </c>
      <c r="C187" s="17" t="inlineStr">
        <is>
          <t>Application</t>
        </is>
      </c>
      <c r="D187" s="16" t="inlineStr">
        <is>
          <t>Payroll liability</t>
        </is>
      </c>
      <c r="E187" s="16" t="inlineStr">
        <is>
          <t>Statutory withholdings (SSO/WHT/PF) mis-stated or not remitted, so the liability owed to the authorities diverges from the books.</t>
        </is>
      </c>
      <c r="F187" s="16" t="inlineStr">
        <is>
          <t>Accuracy/Compliance</t>
        </is>
      </c>
      <c r="G18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7" s="17" t="inlineStr">
        <is>
          <t>Det</t>
        </is>
      </c>
      <c r="I187" s="17" t="inlineStr">
        <is>
          <t>Automated</t>
        </is>
      </c>
      <c r="J187" s="17" t="inlineStr">
        <is>
          <t>Per run / monthly</t>
        </is>
      </c>
      <c r="K187" s="16" t="inlineStr">
        <is>
          <t>HR / Payroll / Treasury</t>
        </is>
      </c>
      <c r="L187" s="17" t="inlineStr">
        <is>
          <t>P10</t>
        </is>
      </c>
      <c r="M187" s="16" t="inlineStr">
        <is>
          <t>payroll/payroll.service.ts liabilities/remitLiability</t>
        </is>
      </c>
      <c r="N187" s="16" t="inlineStr">
        <is>
          <t>Inspect the schedule + the accrued/remitted/outstanding tie-out and the reconciled flag.</t>
        </is>
      </c>
      <c r="O187" s="16" t="inlineStr">
        <is>
          <t>Re-perform: run a payroll, confirm the SSO/WHT outstanding equals the payrun accrual; remit part and confirm the outstanding falls and the TB stays balanced; attempt an over-remit (REMIT_EXCEEDS_OUTSTANDING).</t>
        </is>
      </c>
      <c r="P187" s="16" t="inlineStr">
        <is>
          <t>Liability schedule + remittance JEs tied to filings</t>
        </is>
      </c>
      <c r="Q187" s="18" t="inlineStr">
        <is>
          <t>Implemented</t>
        </is>
      </c>
    </row>
    <row r="188">
      <c r="A188" s="11" t="inlineStr">
        <is>
          <t>PAY-03</t>
        </is>
      </c>
      <c r="B188" s="12" t="inlineStr">
        <is>
          <t>Payroll</t>
        </is>
      </c>
      <c r="C188" s="13" t="inlineStr">
        <is>
          <t>Application</t>
        </is>
      </c>
      <c r="D188" s="12" t="inlineStr">
        <is>
          <t>Payroll expense/liability; Cash</t>
        </is>
      </c>
      <c r="E188" s="12" t="inlineStr">
        <is>
          <t>Payroll run posted to the GL without independent review — the preparer both computes and posts their own payroll (ghost employees, inflated rate/hours).</t>
        </is>
      </c>
      <c r="F188" s="12" t="inlineStr">
        <is>
          <t>Authorization</t>
        </is>
      </c>
      <c r="G18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8" s="13" t="inlineStr">
        <is>
          <t>Prev</t>
        </is>
      </c>
      <c r="I188" s="13" t="inlineStr">
        <is>
          <t>Automated</t>
        </is>
      </c>
      <c r="J188" s="13" t="inlineStr">
        <is>
          <t>Per run</t>
        </is>
      </c>
      <c r="K188" s="12" t="inlineStr">
        <is>
          <t>HR / Payroll; Controller</t>
        </is>
      </c>
      <c r="L188" s="13" t="inlineStr">
        <is>
          <t>P10</t>
        </is>
      </c>
      <c r="M188" s="12" t="inlineStr">
        <is>
          <t>payroll/payroll.service.ts approvePayroll/rejectPayroll; migration 0133</t>
        </is>
      </c>
      <c r="N188" s="12" t="inlineStr">
        <is>
          <t>Inspect Draft→approve flow + the approver≠preparer check.</t>
        </is>
      </c>
      <c r="O188" s="12" t="inlineStr">
        <is>
          <t>Re-perform: run as A, attempt self-approve (SOD_VIOLATION), approve as B; confirm the JE hits balances only after approval.</t>
        </is>
      </c>
      <c r="P188" s="12" t="inlineStr">
        <is>
          <t>Approval log + SoD test</t>
        </is>
      </c>
      <c r="Q188" s="18" t="inlineStr">
        <is>
          <t>Implemented</t>
        </is>
      </c>
    </row>
    <row r="189">
      <c r="A189" s="15" t="inlineStr">
        <is>
          <t>PAY-04</t>
        </is>
      </c>
      <c r="B189" s="16" t="inlineStr">
        <is>
          <t>Payroll</t>
        </is>
      </c>
      <c r="C189" s="17" t="inlineStr">
        <is>
          <t>Application</t>
        </is>
      </c>
      <c r="D189" s="16" t="inlineStr">
        <is>
          <t>Payroll expense; Labor cost</t>
        </is>
      </c>
      <c r="E18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9" s="16" t="inlineStr">
        <is>
          <t>Accuracy/Completeness</t>
        </is>
      </c>
      <c r="G18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9" s="17" t="inlineStr">
        <is>
          <t>Det/Prev</t>
        </is>
      </c>
      <c r="I189" s="17" t="inlineStr">
        <is>
          <t>Auto+Manual</t>
        </is>
      </c>
      <c r="J189" s="17" t="inlineStr">
        <is>
          <t>Per shift / payroll cycle</t>
        </is>
      </c>
      <c r="K189" s="16" t="inlineStr">
        <is>
          <t>HR / Store Ops Mgr</t>
        </is>
      </c>
      <c r="L189" s="17" t="inlineStr">
        <is>
          <t>P10/P13</t>
        </is>
      </c>
      <c r="M18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9" s="16" t="inlineStr">
        <is>
          <t>Inspect the statutory-default overlay, the tier multipliers, the 48h cap + over_cap flag, and the labor-% threshold alert (raise/idempotent/resolve).</t>
        </is>
      </c>
      <c r="O18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9" s="16" t="inlineStr">
        <is>
          <t>labor_ot_rules + labor_alerts register; OT/labor-% test</t>
        </is>
      </c>
      <c r="Q189" s="18" t="inlineStr">
        <is>
          <t>Implemented</t>
        </is>
      </c>
    </row>
    <row r="190">
      <c r="A190" s="11" t="inlineStr">
        <is>
          <t>PAY-05</t>
        </is>
      </c>
      <c r="B190" s="12" t="inlineStr">
        <is>
          <t>Payroll</t>
        </is>
      </c>
      <c r="C190" s="13" t="inlineStr">
        <is>
          <t>Application</t>
        </is>
      </c>
      <c r="D190" s="12" t="inlineStr">
        <is>
          <t>Payroll expense; Labor hours</t>
        </is>
      </c>
      <c r="E19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0" s="12" t="inlineStr">
        <is>
          <t>Existence/Accuracy/Authorization</t>
        </is>
      </c>
      <c r="G19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0" s="13" t="inlineStr">
        <is>
          <t>Prev/Det</t>
        </is>
      </c>
      <c r="I190" s="13" t="inlineStr">
        <is>
          <t>Automated</t>
        </is>
      </c>
      <c r="J190" s="13" t="inlineStr">
        <is>
          <t>Per punch</t>
        </is>
      </c>
      <c r="K190" s="12" t="inlineStr">
        <is>
          <t>HR / Store Ops Mgr</t>
        </is>
      </c>
      <c r="L190" s="13" t="inlineStr">
        <is>
          <t>P10/P13</t>
        </is>
      </c>
      <c r="M19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0" s="12" t="inlineStr">
        <is>
          <t>Inspect the 15-min duplicate-punch guard, the method capture, the geofence pass/fail computation, and the supervisor-override reason + audit trail.</t>
        </is>
      </c>
      <c r="O19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0" s="12" t="inlineStr">
        <is>
          <t>time_clock method/geofence columns + override note; anti-buddy test</t>
        </is>
      </c>
      <c r="Q190" s="18" t="inlineStr">
        <is>
          <t>Implemented</t>
        </is>
      </c>
    </row>
    <row r="191">
      <c r="A191" s="15" t="inlineStr">
        <is>
          <t>PAY-06</t>
        </is>
      </c>
      <c r="B191" s="16" t="inlineStr">
        <is>
          <t>Payroll</t>
        </is>
      </c>
      <c r="C191" s="17" t="inlineStr">
        <is>
          <t>Application</t>
        </is>
      </c>
      <c r="D191" s="16" t="inlineStr">
        <is>
          <t>Payroll PII; Payslip</t>
        </is>
      </c>
      <c r="E19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1" s="16" t="inlineStr">
        <is>
          <t>Confidentiality/Restricted access</t>
        </is>
      </c>
      <c r="G19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1" s="17" t="inlineStr">
        <is>
          <t>Prev</t>
        </is>
      </c>
      <c r="I191" s="17" t="inlineStr">
        <is>
          <t>Automated</t>
        </is>
      </c>
      <c r="J191" s="17" t="inlineStr">
        <is>
          <t>Per access</t>
        </is>
      </c>
      <c r="K191" s="16" t="inlineStr">
        <is>
          <t>HR / Payroll; DPO</t>
        </is>
      </c>
      <c r="L191" s="17" t="inlineStr">
        <is>
          <t>P10</t>
        </is>
      </c>
      <c r="M19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1" s="16" t="inlineStr">
        <is>
          <t>Inspect the me()-&gt;employee_id predicate on the ESS route, the HR-route permission gate, and the last-4 citizen-ID mask.</t>
        </is>
      </c>
      <c r="O19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1" s="16" t="inlineStr">
        <is>
          <t>PDPA payslip-access test (own-200/other-404/HR-403) + masked-ID render</t>
        </is>
      </c>
      <c r="Q191" s="18" t="inlineStr">
        <is>
          <t>Implemented</t>
        </is>
      </c>
    </row>
    <row r="192">
      <c r="A192" s="11" t="inlineStr">
        <is>
          <t>FA-09</t>
        </is>
      </c>
      <c r="B192" s="12" t="inlineStr">
        <is>
          <t>Fixed Assets</t>
        </is>
      </c>
      <c r="C192" s="13" t="inlineStr">
        <is>
          <t>Application</t>
        </is>
      </c>
      <c r="D192" s="12" t="inlineStr">
        <is>
          <t>Property, Plant &amp; Equipment; Cash</t>
        </is>
      </c>
      <c r="E192" s="12" t="inlineStr">
        <is>
          <t>Asset disposed without independent review — one person writes an asset off the books and records the proceeds (asset-stripping / theft: dispose a still-held asset, or to a related party below value).</t>
        </is>
      </c>
      <c r="F192" s="12" t="inlineStr">
        <is>
          <t>Authorization</t>
        </is>
      </c>
      <c r="G19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2" s="13" t="inlineStr">
        <is>
          <t>Prev</t>
        </is>
      </c>
      <c r="I192" s="13" t="inlineStr">
        <is>
          <t>Automated</t>
        </is>
      </c>
      <c r="J192" s="13" t="inlineStr">
        <is>
          <t>Per disposal</t>
        </is>
      </c>
      <c r="K192" s="12" t="inlineStr">
        <is>
          <t>FaAccountant / Controller</t>
        </is>
      </c>
      <c r="L192" s="13" t="inlineStr">
        <is>
          <t>P10</t>
        </is>
      </c>
      <c r="M192" s="12" t="inlineStr">
        <is>
          <t>assets.service.ts dispose(pendingApproval Draft)/approveDisposal/rejectDisposal; assets.controller.ts (:assetNo/dispose/approve|reject); schema/assets.ts fixed_assets.disposal_pending + migration 0135; cutover/basics.ts + worldclass.ts + compliance.ts (ToE)</t>
        </is>
      </c>
      <c r="N192" s="12" t="inlineStr">
        <is>
          <t>Inspect Draft→approve flow + the approver≠requester check + deferred status/recycle.</t>
        </is>
      </c>
      <c r="O192" s="12" t="inlineStr">
        <is>
          <t>Re-perform: request a disposal (Draft JE excluded), attempt self-approve (SOD_VIOLATION), approve as a different user; confirm status→disposed + surplus recycled only after approval (re-performed by the harnesses).</t>
        </is>
      </c>
      <c r="P192" s="12" t="inlineStr">
        <is>
          <t>Disposal approval log + SoD test</t>
        </is>
      </c>
      <c r="Q192" s="18" t="inlineStr">
        <is>
          <t>Implemented</t>
        </is>
      </c>
    </row>
    <row r="193">
      <c r="A193" s="15" t="inlineStr">
        <is>
          <t>FA-10</t>
        </is>
      </c>
      <c r="B193" s="16" t="inlineStr">
        <is>
          <t>Fixed Assets</t>
        </is>
      </c>
      <c r="C193" s="17" t="inlineStr">
        <is>
          <t>Application</t>
        </is>
      </c>
      <c r="D193" s="16" t="inlineStr">
        <is>
          <t>Property, Plant &amp; Equipment; Accounts Payable</t>
        </is>
      </c>
      <c r="E193" s="16" t="inlineStr">
        <is>
          <t>Capital purchases mis-capitalised or capitalised without independent review — the person who receives the goods also decides what enters the asset register and at what cost/useful life (fictitious or over-valued assets; capex/opex mis-classification).</t>
        </is>
      </c>
      <c r="F193" s="16" t="inlineStr">
        <is>
          <t>Authorization; Accuracy</t>
        </is>
      </c>
      <c r="G19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3" s="17" t="inlineStr">
        <is>
          <t>Prev</t>
        </is>
      </c>
      <c r="I193" s="17" t="inlineStr">
        <is>
          <t>Automated</t>
        </is>
      </c>
      <c r="J193" s="17" t="inlineStr">
        <is>
          <t>Per capital receipt</t>
        </is>
      </c>
      <c r="K193" s="16" t="inlineStr">
        <is>
          <t>FaAccountant / Controller</t>
        </is>
      </c>
      <c r="L193" s="17" t="inlineStr">
        <is>
          <t>P10</t>
        </is>
      </c>
      <c r="M19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3" s="16" t="inlineStr">
        <is>
          <t>Inspect the eligible→request→approve flow + approver≠requester check + the inventory-vs-asset routing of capital lines.</t>
        </is>
      </c>
      <c r="O193" s="16" t="inlineStr">
        <is>
          <t>Re-perform: receive a capital line, raise a registration (no GL), attempt self-approve (SOD_VIOLATION), approve as a different user; confirm the asset + Dr 1500/Cr 2000 post only after approval and the line cannot be re-registered (re-performed by the harnesses).</t>
        </is>
      </c>
      <c r="P193" s="16" t="inlineStr">
        <is>
          <t>Capitalization approval log + SoD test</t>
        </is>
      </c>
      <c r="Q193" s="18" t="inlineStr">
        <is>
          <t>Implemented</t>
        </is>
      </c>
    </row>
    <row r="194">
      <c r="A194" s="11" t="inlineStr">
        <is>
          <t>FA-11</t>
        </is>
      </c>
      <c r="B194" s="12" t="inlineStr">
        <is>
          <t>Fixed Assets</t>
        </is>
      </c>
      <c r="C194" s="13" t="inlineStr">
        <is>
          <t>Application</t>
        </is>
      </c>
      <c r="D194" s="12" t="inlineStr">
        <is>
          <t>Property, Plant &amp; Equipment</t>
        </is>
      </c>
      <c r="E19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4" s="12" t="inlineStr">
        <is>
          <t>Authorization; Existence</t>
        </is>
      </c>
      <c r="G19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4" s="13" t="inlineStr">
        <is>
          <t>Prev / Det</t>
        </is>
      </c>
      <c r="I194" s="13" t="inlineStr">
        <is>
          <t>Automated</t>
        </is>
      </c>
      <c r="J194" s="13" t="inlineStr">
        <is>
          <t>Per custody move / per audit</t>
        </is>
      </c>
      <c r="K194" s="12" t="inlineStr">
        <is>
          <t>FaAccountant / Controller</t>
        </is>
      </c>
      <c r="L194" s="13" t="inlineStr">
        <is>
          <t>P10</t>
        </is>
      </c>
      <c r="M19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4" s="12" t="inlineStr">
        <is>
          <t>Inspect the scan-&gt;request-&gt;approve flow + the approver!=requester check + the audit reconcile-&gt;custody-request path.</t>
        </is>
      </c>
      <c r="O19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4" s="12" t="inlineStr">
        <is>
          <t>Custody-change approval log + audit reconciliation + SoD test</t>
        </is>
      </c>
      <c r="Q194" s="18" t="inlineStr">
        <is>
          <t>Implemented</t>
        </is>
      </c>
    </row>
    <row r="195">
      <c r="A195" s="15" t="inlineStr">
        <is>
          <t>FA-12</t>
        </is>
      </c>
      <c r="B195" s="16" t="inlineStr">
        <is>
          <t>Fixed Assets</t>
        </is>
      </c>
      <c r="C195" s="17" t="inlineStr">
        <is>
          <t>Detective</t>
        </is>
      </c>
      <c r="D195" s="16" t="inlineStr">
        <is>
          <t>Property, Plant &amp; Equipment</t>
        </is>
      </c>
      <c r="E195" s="16" t="inlineStr">
        <is>
          <t>Assets exist on the register but are never physically confirmed — a missing/stolen/scrapped asset stays on the books indefinitely because no periodic existence check flags it, overstating PPE and the existence assertion.</t>
        </is>
      </c>
      <c r="F195" s="16" t="inlineStr">
        <is>
          <t>Existence; Completeness</t>
        </is>
      </c>
      <c r="G19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5" s="17" t="inlineStr">
        <is>
          <t>Det</t>
        </is>
      </c>
      <c r="I195" s="17" t="inlineStr">
        <is>
          <t>Automated</t>
        </is>
      </c>
      <c r="J195" s="17" t="inlineStr">
        <is>
          <t>Monthly (scheduled) / on demand</t>
        </is>
      </c>
      <c r="K195" s="16" t="inlineStr">
        <is>
          <t>FaAccountant / Controller</t>
        </is>
      </c>
      <c r="L195" s="17" t="inlineStr">
        <is>
          <t>P16</t>
        </is>
      </c>
      <c r="M195" s="16" t="inlineStr">
        <is>
          <t>assets.service.ts unverifiedAssets/auditReport; assets.controller.ts (unverified, audit-report); bi.service.ts REPORT_TYPES asset_verification_exceptions + asset_audit + generateReport blocks; bi.module.ts imports AssetsModule; cutover/module-qr.ts (ToE)</t>
        </is>
      </c>
      <c r="N195" s="16" t="inlineStr">
        <is>
          <t>Inspect the exception query (last Scan Verify/Update vs N-day threshold, acquisition-date fallback) and that the report is a registered, schedulable BI type.</t>
        </is>
      </c>
      <c r="O19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5" s="16" t="inlineStr">
        <is>
          <t>Scheduled exception report runs + exception list + verification-movement log</t>
        </is>
      </c>
      <c r="Q195" s="18" t="inlineStr">
        <is>
          <t>Implemented</t>
        </is>
      </c>
    </row>
    <row r="196">
      <c r="A196" s="11" t="inlineStr">
        <is>
          <t>CON-01</t>
        </is>
      </c>
      <c r="B196" s="12" t="inlineStr">
        <is>
          <t>Consolidation &amp; FX</t>
        </is>
      </c>
      <c r="C196" s="13" t="inlineStr">
        <is>
          <t>Application</t>
        </is>
      </c>
      <c r="D196" s="12" t="inlineStr">
        <is>
          <t>Consolidation</t>
        </is>
      </c>
      <c r="E196" s="12" t="inlineStr">
        <is>
          <t>Group consolidation mis-stated (ownership/currency).</t>
        </is>
      </c>
      <c r="F196" s="12" t="inlineStr">
        <is>
          <t>Accuracy</t>
        </is>
      </c>
      <c r="G196" s="12" t="inlineStr">
        <is>
          <t>Consolidation run (ownership %, entity currency) gated by 'approvals'.</t>
        </is>
      </c>
      <c r="H196" s="13" t="inlineStr">
        <is>
          <t>Auto+Manual</t>
        </is>
      </c>
      <c r="I196" s="13" t="inlineStr">
        <is>
          <t>Period</t>
        </is>
      </c>
      <c r="J196" s="13" t="inlineStr">
        <is>
          <t>Period</t>
        </is>
      </c>
      <c r="K196" s="12" t="inlineStr">
        <is>
          <t>Group Controller</t>
        </is>
      </c>
      <c r="L196" s="13" t="inlineStr">
        <is>
          <t>P10</t>
        </is>
      </c>
      <c r="M196" s="12" t="inlineStr">
        <is>
          <t>consolidation.service.ts (runConsolidation @Permissions approvals)</t>
        </is>
      </c>
      <c r="N196" s="12" t="inlineStr">
        <is>
          <t>Inspect consolidation logic + gate.</t>
        </is>
      </c>
      <c r="O196" s="12" t="inlineStr">
        <is>
          <t>Sample period: consolidated TB ties to entities.</t>
        </is>
      </c>
      <c r="P196" s="12" t="inlineStr">
        <is>
          <t>Consol TB</t>
        </is>
      </c>
      <c r="Q196" s="18" t="inlineStr">
        <is>
          <t>Implemented</t>
        </is>
      </c>
    </row>
    <row r="197">
      <c r="A197" s="15" t="inlineStr">
        <is>
          <t>CON-02</t>
        </is>
      </c>
      <c r="B197" s="16" t="inlineStr">
        <is>
          <t>Consolidation &amp; FX</t>
        </is>
      </c>
      <c r="C197" s="17" t="inlineStr">
        <is>
          <t>Application</t>
        </is>
      </c>
      <c r="D197" s="16" t="inlineStr">
        <is>
          <t>FX gain/loss</t>
        </is>
      </c>
      <c r="E197" s="16" t="inlineStr">
        <is>
          <t>FX exposures not revalued at period-end.</t>
        </is>
      </c>
      <c r="F197" s="16" t="inlineStr">
        <is>
          <t>Valuation</t>
        </is>
      </c>
      <c r="G197" s="16" t="inlineStr">
        <is>
          <t>FX revaluation at period-end rates; unrealized FX posted (acct 5400).</t>
        </is>
      </c>
      <c r="H197" s="17" t="inlineStr">
        <is>
          <t>Auto+Manual</t>
        </is>
      </c>
      <c r="I197" s="17" t="inlineStr">
        <is>
          <t>Period-end</t>
        </is>
      </c>
      <c r="J197" s="17" t="inlineStr">
        <is>
          <t>Period</t>
        </is>
      </c>
      <c r="K197" s="16" t="inlineStr">
        <is>
          <t>Controller</t>
        </is>
      </c>
      <c r="L197" s="17" t="inlineStr">
        <is>
          <t>P10</t>
        </is>
      </c>
      <c r="M197" s="16" t="inlineStr">
        <is>
          <t>fx.service.ts (revalue / unrealized report)</t>
        </is>
      </c>
      <c r="N197" s="16" t="inlineStr">
        <is>
          <t>Inspect reval logic + rates.</t>
        </is>
      </c>
      <c r="O197" s="16" t="inlineStr">
        <is>
          <t>Recompute reval on sample balances.</t>
        </is>
      </c>
      <c r="P197" s="16" t="inlineStr">
        <is>
          <t>FX reval JE</t>
        </is>
      </c>
      <c r="Q197" s="18" t="inlineStr">
        <is>
          <t>Implemented</t>
        </is>
      </c>
    </row>
    <row r="198">
      <c r="A198" s="11" t="inlineStr">
        <is>
          <t>CON-03</t>
        </is>
      </c>
      <c r="B198" s="12" t="inlineStr">
        <is>
          <t>Consolidation &amp; FX</t>
        </is>
      </c>
      <c r="C198" s="13" t="inlineStr">
        <is>
          <t>Application</t>
        </is>
      </c>
      <c r="D198" s="12" t="inlineStr">
        <is>
          <t>Consolidation</t>
        </is>
      </c>
      <c r="E198" s="12" t="inlineStr">
        <is>
          <t>Intercompany balances/transactions are not eliminated on consolidation, OR eliminations are mis-stated, so the consolidated group trial balance does not balance and group financials are overstated (IC double-counted).</t>
        </is>
      </c>
      <c r="F198" s="12" t="inlineStr">
        <is>
          <t>Accuracy/Completeness</t>
        </is>
      </c>
      <c r="G19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8" s="13" t="inlineStr">
        <is>
          <t>Prev</t>
        </is>
      </c>
      <c r="I198" s="13" t="inlineStr">
        <is>
          <t>Auto+Manual</t>
        </is>
      </c>
      <c r="J198" s="13" t="inlineStr">
        <is>
          <t>Period</t>
        </is>
      </c>
      <c r="K198" s="12" t="inlineStr">
        <is>
          <t>Group Controller</t>
        </is>
      </c>
      <c r="L198" s="13" t="inlineStr">
        <is>
          <t>P10</t>
        </is>
      </c>
      <c r="M19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8" s="12" t="inlineStr">
        <is>
          <t>Inspect the combine→eliminate→balance flow, the CONSOL_UNBALANCED guard, and the run→post approver≠runner check.</t>
        </is>
      </c>
      <c r="O198" s="12" t="inlineStr">
        <is>
          <t>Re-perform: run a group consolidation, confirm IC 1150/2150 eliminate and the consolidated TB balances; attempt self-post (SELF_POST); post as a different user (Posted); re-run the posted period (ALREADY_POSTED). Re-performed by the consolidation harness.</t>
        </is>
      </c>
      <c r="P198" s="12" t="inlineStr">
        <is>
          <t>Consolidated TB + elimination lines + post log</t>
        </is>
      </c>
      <c r="Q198" s="18" t="inlineStr">
        <is>
          <t>Implemented</t>
        </is>
      </c>
    </row>
    <row r="199">
      <c r="A199" s="15" t="inlineStr">
        <is>
          <t>CON-04</t>
        </is>
      </c>
      <c r="B199" s="16" t="inlineStr">
        <is>
          <t>Consolidation &amp; FX</t>
        </is>
      </c>
      <c r="C199" s="17" t="inlineStr">
        <is>
          <t>Application</t>
        </is>
      </c>
      <c r="D199" s="16" t="inlineStr">
        <is>
          <t>All (segment disclosure)</t>
        </is>
      </c>
      <c r="E199" s="16" t="inlineStr">
        <is>
          <t>Segment (branch/project/department) operating results are not reported, so IFRS 8 segment disclosure is incomplete or inaccurate and management/investors cannot see results by reportable segment.</t>
        </is>
      </c>
      <c r="F199" s="16" t="inlineStr">
        <is>
          <t>Presentation/Disclosure</t>
        </is>
      </c>
      <c r="G19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9" s="17" t="inlineStr">
        <is>
          <t>Det</t>
        </is>
      </c>
      <c r="I199" s="17" t="inlineStr">
        <is>
          <t>Auto+Manual</t>
        </is>
      </c>
      <c r="J199" s="17" t="inlineStr">
        <is>
          <t>Period</t>
        </is>
      </c>
      <c r="K199" s="16" t="inlineStr">
        <is>
          <t>Group Controller</t>
        </is>
      </c>
      <c r="L199" s="17" t="inlineStr">
        <is>
          <t>P10</t>
        </is>
      </c>
      <c r="M199" s="16" t="inlineStr">
        <is>
          <t>consolidation.service.ts defineSegment/listSegments/segmentReport; consolidation.controller.ts (segments, segment-report @exec); schema/consolidation.ts segment_definitions + migration 0170; cutover/consolidation.ts (ToE)</t>
        </is>
      </c>
      <c r="N199" s="16" t="inlineStr">
        <is>
          <t>Inspect the segment mapping + the dimension-grouped P&amp;L aggregation.</t>
        </is>
      </c>
      <c r="O199" s="16" t="inlineStr">
        <is>
          <t>Re-perform: define a segment over branches, run the segment report for a period, confirm revenue/expense/net tie to the underlying dimensioned postings. Re-performed by the consolidation harness.</t>
        </is>
      </c>
      <c r="P199" s="16" t="inlineStr">
        <is>
          <t>Segment P&amp;L report</t>
        </is>
      </c>
      <c r="Q199" s="18" t="inlineStr">
        <is>
          <t>Implemented</t>
        </is>
      </c>
    </row>
    <row r="200">
      <c r="A200" s="11" t="inlineStr">
        <is>
          <t>FX-04</t>
        </is>
      </c>
      <c r="B200" s="12" t="inlineStr">
        <is>
          <t>Consolidation &amp; FX</t>
        </is>
      </c>
      <c r="C200" s="13" t="inlineStr">
        <is>
          <t>Application</t>
        </is>
      </c>
      <c r="D200" s="12" t="inlineStr">
        <is>
          <t>FX gain/loss; Revenue; AR/AP</t>
        </is>
      </c>
      <c r="E200" s="12" t="inlineStr">
        <is>
          <t>A wrong manually-entered FX rate (fat-fingered, e.g. USD 36 keyed as 63) flows straight into a period-end revaluation JE and the unrealized-FX report with no independent review — mis-stating earnings/equity and FX-translated balances.</t>
        </is>
      </c>
      <c r="F200" s="12" t="inlineStr">
        <is>
          <t>Accuracy/Valuation</t>
        </is>
      </c>
      <c r="G20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0" s="13" t="inlineStr">
        <is>
          <t>Prev</t>
        </is>
      </c>
      <c r="I200" s="13" t="inlineStr">
        <is>
          <t>Automated</t>
        </is>
      </c>
      <c r="J200" s="13" t="inlineStr">
        <is>
          <t>Per rate</t>
        </is>
      </c>
      <c r="K200" s="12" t="inlineStr">
        <is>
          <t>Controller / Treasury</t>
        </is>
      </c>
      <c r="L200" s="13" t="inlineStr">
        <is>
          <t>P10</t>
        </is>
      </c>
      <c r="M20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0" s="12" t="inlineStr">
        <is>
          <t>Inspect the request→approve flow + the approver≠requester check + that revaluation/reporting resolve Approved rates only.</t>
        </is>
      </c>
      <c r="O200" s="12" t="inlineStr">
        <is>
          <t>Re-perform: enter a manual rate (PendingApproval), confirm revalue is blocked NO_RATE while pending, attempt self-approve (SOD_VIOLATION), approve as a different user, then revalue succeeds (re-performed by the fxreval harness).</t>
        </is>
      </c>
      <c r="P200" s="12" t="inlineStr">
        <is>
          <t>FX rate approval log + SoD test</t>
        </is>
      </c>
      <c r="Q200" s="18" t="inlineStr">
        <is>
          <t>Implemented</t>
        </is>
      </c>
    </row>
    <row r="201">
      <c r="A201" s="15" t="inlineStr">
        <is>
          <t>BUD-01</t>
        </is>
      </c>
      <c r="B201" s="16" t="inlineStr">
        <is>
          <t>Budgeting &amp; Planning</t>
        </is>
      </c>
      <c r="C201" s="17" t="inlineStr">
        <is>
          <t>Application</t>
        </is>
      </c>
      <c r="D201" s="16" t="inlineStr">
        <is>
          <t>Budget; All (variance reporting)</t>
        </is>
      </c>
      <c r="E20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1" s="16" t="inlineStr">
        <is>
          <t>Authorization/Accuracy</t>
        </is>
      </c>
      <c r="G20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1" s="17" t="inlineStr">
        <is>
          <t>Prev</t>
        </is>
      </c>
      <c r="I201" s="17" t="inlineStr">
        <is>
          <t>Automated</t>
        </is>
      </c>
      <c r="J201" s="17" t="inlineStr">
        <is>
          <t>Per budget</t>
        </is>
      </c>
      <c r="K201" s="16" t="inlineStr">
        <is>
          <t>Controller / FP&amp;A</t>
        </is>
      </c>
      <c r="L201" s="17" t="inlineStr">
        <is>
          <t>P10</t>
        </is>
      </c>
      <c r="M201" s="16" t="inlineStr">
        <is>
          <t>budget.service.ts upsertBudget(→PendingApproval)/approveBudget/rejectBudget/budgetVsActual(Approved only); budget.controller.ts (budgets/approve|reject|pending gated approvals/gl_close); schema/budgets.ts budgets.status + migration 0142; cutover/budget.ts (ToE)</t>
        </is>
      </c>
      <c r="N201" s="16" t="inlineStr">
        <is>
          <t>Inspect the request→approve flow + the approver≠requester check + that budget-vs-actual counts Approved budgets only.</t>
        </is>
      </c>
      <c r="O201" s="16" t="inlineStr">
        <is>
          <t>Re-perform: upsert a budget (PendingApproval, excluded from variance), attempt self-approve (SOD_VIOLATION), approve as a different user, confirm it then appears in budget-vs-actual (re-performed by the budget harness).</t>
        </is>
      </c>
      <c r="P201" s="16" t="inlineStr">
        <is>
          <t>Budget approval log + SoD test</t>
        </is>
      </c>
      <c r="Q201" s="18" t="inlineStr">
        <is>
          <t>Implemented</t>
        </is>
      </c>
    </row>
  </sheetData>
  <autoFilter ref="A1:Q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COUNTIF(RCM!$Q$2:$Q$201,B5)</f>
        <v/>
      </c>
    </row>
    <row r="6">
      <c r="B6" s="27" t="inlineStr">
        <is>
          <t>Partial</t>
        </is>
      </c>
      <c r="C6" s="26">
        <f>COUNTIF(RCM!$Q$2:$Q$201,B6)</f>
        <v/>
      </c>
    </row>
    <row r="7">
      <c r="B7" s="28" t="inlineStr">
        <is>
          <t>Gap</t>
        </is>
      </c>
      <c r="C7" s="26">
        <f>COUNTIF(RCM!$Q$2:$Q$201,B7)</f>
        <v/>
      </c>
    </row>
    <row r="8">
      <c r="B8" s="29" t="inlineStr">
        <is>
          <t>Total</t>
        </is>
      </c>
      <c r="C8" s="29">
        <f>COUNTA(RCM!$A$2:$A$201)</f>
        <v/>
      </c>
    </row>
    <row r="10">
      <c r="B10" s="24" t="inlineStr">
        <is>
          <t>By Category</t>
        </is>
      </c>
    </row>
    <row r="11">
      <c r="B11" s="26" t="inlineStr">
        <is>
          <t>Entity</t>
        </is>
      </c>
      <c r="C11" s="26">
        <f>COUNTIF(RCM!$C$2:$C$201,B11)</f>
        <v/>
      </c>
    </row>
    <row r="12">
      <c r="B12" s="26" t="inlineStr">
        <is>
          <t>ITGC</t>
        </is>
      </c>
      <c r="C12" s="26">
        <f>COUNTIF(RCM!$C$2:$C$201,B12)</f>
        <v/>
      </c>
    </row>
    <row r="13">
      <c r="B13" s="26" t="inlineStr">
        <is>
          <t>Application</t>
        </is>
      </c>
      <c r="C13" s="26">
        <f>COUNTIF(RCM!$C$2:$C$201,B13)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2026-07-08T02:06:38Z</dcterms:created>
  <dcterms:modified xsi:type="dcterms:W3CDTF">2026-07-08T02:06:39Z</dcterms:modified>
</cp:coreProperties>
</file>