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Cover" sheetId="1" state="visible" r:id="rId1"/>
    <sheet xmlns:r="http://schemas.openxmlformats.org/officeDocument/2006/relationships" name="RCM" sheetId="2" state="visible" r:id="rId2"/>
    <sheet xmlns:r="http://schemas.openxmlformats.org/officeDocument/2006/relationships" name="Gap Remediation" sheetId="3" state="visible" r:id="rId3"/>
    <sheet xmlns:r="http://schemas.openxmlformats.org/officeDocument/2006/relationships" name="COSO Mapping" sheetId="4" state="visible" r:id="rId4"/>
    <sheet xmlns:r="http://schemas.openxmlformats.org/officeDocument/2006/relationships" name="Summary" sheetId="5" state="visible" r:id="rId5"/>
  </sheets>
  <definedNames>
    <definedName name="_xlnm._FilterDatabase" localSheetId="1" hidden="1">'RCM'!$A$1:$Q$130</definedName>
    <definedName name="_xlnm._FilterDatabase" localSheetId="2" hidden="1">'Gap Remediation'!$A$2:$H$18</definedName>
  </definedNames>
  <calcPr calcId="124519" fullCalcOnLoad="1"/>
</workbook>
</file>

<file path=xl/styles.xml><?xml version="1.0" encoding="utf-8"?>
<styleSheet xmlns="http://schemas.openxmlformats.org/spreadsheetml/2006/main">
  <numFmts count="1">
    <numFmt numFmtId="164" formatCode="0.0%"/>
  </numFmts>
  <fonts count="21">
    <font>
      <name val="Calibri"/>
      <family val="2"/>
      <color theme="1"/>
      <sz val="11"/>
      <scheme val="minor"/>
    </font>
    <font>
      <name val="Arial"/>
      <b val="1"/>
      <color rgb="001F4E78"/>
      <sz val="20"/>
    </font>
    <font>
      <name val="Arial"/>
      <color rgb="002E5C8A"/>
      <sz val="11"/>
    </font>
    <font>
      <name val="Arial"/>
      <b val="1"/>
      <color rgb="001F4E78"/>
      <sz val="10"/>
    </font>
    <font>
      <name val="Arial"/>
      <color rgb="00000000"/>
      <sz val="10"/>
    </font>
    <font>
      <name val="Arial"/>
      <b val="1"/>
      <color rgb="001F4E78"/>
      <sz val="11"/>
    </font>
    <font>
      <name val="Arial"/>
      <b val="1"/>
      <color rgb="00006100"/>
      <sz val="10"/>
    </font>
    <font>
      <name val="Arial"/>
      <b val="1"/>
      <color rgb="009C6500"/>
      <sz val="10"/>
    </font>
    <font>
      <name val="Arial"/>
      <b val="1"/>
      <color rgb="009C0006"/>
      <sz val="10"/>
    </font>
    <font>
      <name val="Arial"/>
      <color rgb="00808080"/>
      <sz val="9"/>
    </font>
    <font>
      <name val="Arial"/>
      <b val="1"/>
      <color rgb="00FFFFFF"/>
      <sz val="10"/>
    </font>
    <font>
      <name val="Arial"/>
      <color rgb="00000000"/>
      <sz val="9"/>
    </font>
    <font>
      <name val="Arial"/>
      <b val="1"/>
      <color rgb="009C0006"/>
      <sz val="9"/>
    </font>
    <font>
      <name val="Arial"/>
      <b val="1"/>
      <color rgb="001F4E78"/>
      <sz val="9"/>
    </font>
    <font>
      <name val="Arial"/>
      <b val="1"/>
      <color rgb="00006100"/>
      <sz val="9"/>
    </font>
    <font>
      <name val="Arial"/>
      <b val="1"/>
      <color rgb="009C6500"/>
      <sz val="9"/>
    </font>
    <font>
      <name val="Arial"/>
      <b val="1"/>
      <color rgb="001F4E78"/>
      <sz val="12"/>
    </font>
    <font>
      <name val="Arial"/>
      <b val="1"/>
      <color rgb="00000000"/>
      <sz val="9"/>
    </font>
    <font>
      <name val="Arial"/>
      <b val="1"/>
      <color rgb="001F4E78"/>
      <sz val="14"/>
    </font>
    <font>
      <name val="Arial"/>
      <b val="1"/>
      <color rgb="002E5C8A"/>
      <sz val="11"/>
    </font>
    <font>
      <name val="Arial"/>
      <b val="1"/>
      <color rgb="00000000"/>
      <sz val="10"/>
    </font>
  </fonts>
  <fills count="9">
    <fill>
      <patternFill/>
    </fill>
    <fill>
      <patternFill patternType="gray125"/>
    </fill>
    <fill>
      <patternFill patternType="solid">
        <fgColor rgb="00C6EFCE"/>
      </patternFill>
    </fill>
    <fill>
      <patternFill patternType="solid">
        <fgColor rgb="00FFEB9C"/>
      </patternFill>
    </fill>
    <fill>
      <patternFill patternType="solid">
        <fgColor rgb="00FFC7CE"/>
      </patternFill>
    </fill>
    <fill>
      <patternFill patternType="solid">
        <fgColor rgb="001F4E78"/>
      </patternFill>
    </fill>
    <fill>
      <patternFill patternType="solid">
        <fgColor rgb="00F2F6FB"/>
      </patternFill>
    </fill>
    <fill>
      <patternFill patternType="solid">
        <fgColor rgb="00FFFFFF"/>
      </patternFill>
    </fill>
    <fill>
      <patternFill patternType="solid">
        <fgColor rgb="002E5C8A"/>
      </patternFill>
    </fill>
  </fills>
  <borders count="2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</borders>
  <cellStyleXfs count="1">
    <xf numFmtId="0" fontId="0" fillId="0" borderId="0"/>
  </cellStyleXfs>
  <cellXfs count="34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0" borderId="0" applyAlignment="1" pivotButton="0" quotePrefix="0" xfId="0">
      <alignment vertical="top" wrapText="1"/>
    </xf>
    <xf numFmtId="0" fontId="4" fillId="0" borderId="0" applyAlignment="1" pivotButton="0" quotePrefix="0" xfId="0">
      <alignment vertical="top" wrapText="1"/>
    </xf>
    <xf numFmtId="0" fontId="5" fillId="0" borderId="0" pivotButton="0" quotePrefix="0" xfId="0"/>
    <xf numFmtId="0" fontId="6" fillId="2" borderId="0" applyAlignment="1" pivotButton="0" quotePrefix="0" xfId="0">
      <alignment horizontal="center"/>
    </xf>
    <xf numFmtId="0" fontId="7" fillId="3" borderId="0" applyAlignment="1" pivotButton="0" quotePrefix="0" xfId="0">
      <alignment horizontal="center"/>
    </xf>
    <xf numFmtId="0" fontId="8" fillId="4" borderId="0" applyAlignment="1" pivotButton="0" quotePrefix="0" xfId="0">
      <alignment horizontal="center"/>
    </xf>
    <xf numFmtId="0" fontId="9" fillId="0" borderId="0" applyAlignment="1" pivotButton="0" quotePrefix="0" xfId="0">
      <alignment vertical="top" wrapText="1"/>
    </xf>
    <xf numFmtId="0" fontId="10" fillId="5" borderId="1" applyAlignment="1" pivotButton="0" quotePrefix="0" xfId="0">
      <alignment horizontal="center" vertical="center" wrapText="1"/>
    </xf>
    <xf numFmtId="0" fontId="13" fillId="6" borderId="1" applyAlignment="1" pivotButton="0" quotePrefix="0" xfId="0">
      <alignment horizontal="center" vertical="center" wrapText="1"/>
    </xf>
    <xf numFmtId="0" fontId="11" fillId="6" borderId="1" applyAlignment="1" pivotButton="0" quotePrefix="0" xfId="0">
      <alignment vertical="top" wrapText="1"/>
    </xf>
    <xf numFmtId="0" fontId="11" fillId="6" borderId="1" applyAlignment="1" pivotButton="0" quotePrefix="0" xfId="0">
      <alignment horizontal="center" vertical="center" wrapText="1"/>
    </xf>
    <xf numFmtId="0" fontId="12" fillId="4" borderId="1" applyAlignment="1" pivotButton="0" quotePrefix="0" xfId="0">
      <alignment horizontal="center" vertical="center" wrapText="1"/>
    </xf>
    <xf numFmtId="0" fontId="13" fillId="7" borderId="1" applyAlignment="1" pivotButton="0" quotePrefix="0" xfId="0">
      <alignment horizontal="center" vertical="center" wrapText="1"/>
    </xf>
    <xf numFmtId="0" fontId="11" fillId="7" borderId="1" applyAlignment="1" pivotButton="0" quotePrefix="0" xfId="0">
      <alignment vertical="top" wrapText="1"/>
    </xf>
    <xf numFmtId="0" fontId="11" fillId="7" borderId="1" applyAlignment="1" pivotButton="0" quotePrefix="0" xfId="0">
      <alignment horizontal="center" vertical="center" wrapText="1"/>
    </xf>
    <xf numFmtId="0" fontId="14" fillId="2" borderId="1" applyAlignment="1" pivotButton="0" quotePrefix="0" xfId="0">
      <alignment horizontal="center" vertical="center" wrapText="1"/>
    </xf>
    <xf numFmtId="0" fontId="15" fillId="3" borderId="1" applyAlignment="1" pivotButton="0" quotePrefix="0" xfId="0">
      <alignment horizontal="center" vertical="center" wrapText="1"/>
    </xf>
    <xf numFmtId="0" fontId="16" fillId="0" borderId="0" pivotButton="0" quotePrefix="0" xfId="0"/>
    <xf numFmtId="0" fontId="10" fillId="8" borderId="1" applyAlignment="1" pivotButton="0" quotePrefix="0" xfId="0">
      <alignment horizontal="center" vertical="center" wrapText="1"/>
    </xf>
    <xf numFmtId="0" fontId="17" fillId="3" borderId="1" applyAlignment="1" pivotButton="0" quotePrefix="0" xfId="0">
      <alignment horizontal="center" vertical="center" wrapText="1"/>
    </xf>
    <xf numFmtId="0" fontId="17" fillId="7" borderId="1" applyAlignment="1" pivotButton="0" quotePrefix="0" xfId="0">
      <alignment horizontal="center" vertical="center" wrapText="1"/>
    </xf>
    <xf numFmtId="0" fontId="17" fillId="4" borderId="1" applyAlignment="1" pivotButton="0" quotePrefix="0" xfId="0">
      <alignment horizontal="center" vertical="center" wrapText="1"/>
    </xf>
    <xf numFmtId="0" fontId="13" fillId="6" borderId="1" applyAlignment="1" pivotButton="0" quotePrefix="0" xfId="0">
      <alignment vertical="top" wrapText="1"/>
    </xf>
    <xf numFmtId="0" fontId="18" fillId="0" borderId="0" pivotButton="0" quotePrefix="0" xfId="0"/>
    <xf numFmtId="0" fontId="19" fillId="0" borderId="0" pivotButton="0" quotePrefix="0" xfId="0"/>
    <xf numFmtId="0" fontId="6" fillId="2" borderId="0" pivotButton="0" quotePrefix="0" xfId="0"/>
    <xf numFmtId="0" fontId="4" fillId="0" borderId="0" pivotButton="0" quotePrefix="0" xfId="0"/>
    <xf numFmtId="0" fontId="7" fillId="3" borderId="0" pivotButton="0" quotePrefix="0" xfId="0"/>
    <xf numFmtId="0" fontId="8" fillId="4" borderId="0" pivotButton="0" quotePrefix="0" xfId="0"/>
    <xf numFmtId="0" fontId="20" fillId="0" borderId="0" pivotButton="0" quotePrefix="0" xfId="0"/>
    <xf numFmtId="164" fontId="2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B2:C29"/>
  <sheetViews>
    <sheetView showGridLines="0" workbookViewId="0">
      <selection activeCell="A1" sqref="A1"/>
    </sheetView>
  </sheetViews>
  <sheetFormatPr baseColWidth="8" defaultRowHeight="15"/>
  <cols>
    <col width="3" customWidth="1" min="1" max="1"/>
    <col width="30" customWidth="1" min="2" max="2"/>
    <col width="95" customWidth="1" min="3" max="3"/>
  </cols>
  <sheetData>
    <row r="2">
      <c r="B2" s="1" t="inlineStr">
        <is>
          <t>Risk &amp; Control Matrix (RCM)</t>
        </is>
      </c>
    </row>
    <row r="3">
      <c r="B3" s="2" t="inlineStr">
        <is>
          <t>SOX / COSO 2013 Internal-Control Readiness — IT General Controls &amp; Application Controls</t>
        </is>
      </c>
    </row>
    <row r="6">
      <c r="B6" s="3" t="inlineStr">
        <is>
          <t>Entity</t>
        </is>
      </c>
      <c r="C6" s="4" t="inlineStr">
        <is>
          <t>Invisible Consulting — Oshinei Enterprise ERP</t>
        </is>
      </c>
    </row>
    <row r="7">
      <c r="B7" s="3" t="inlineStr">
        <is>
          <t>System in scope</t>
        </is>
      </c>
      <c r="C7" s="4" t="inlineStr">
        <is>
          <t>Invisible ERP V2 (NestJS API · Next.js web · Drizzle · PostgreSQL, multi-tenant w/ RLS)</t>
        </is>
      </c>
    </row>
    <row r="8">
      <c r="B8" s="3" t="inlineStr">
        <is>
          <t>Filer status</t>
        </is>
      </c>
      <c r="C8" s="4" t="inlineStr">
        <is>
          <t>Emerging Growth Company (EGC) — JOBS Act</t>
        </is>
      </c>
    </row>
    <row r="9">
      <c r="B9" s="3" t="inlineStr">
        <is>
          <t>Framework</t>
        </is>
      </c>
      <c r="C9" s="4" t="inlineStr">
        <is>
          <t>COSO 2013 (5 components / 17 principles) · ITGC aligned to COBIT · PCAOB AS 2201</t>
        </is>
      </c>
    </row>
    <row r="10">
      <c r="B10" s="3" t="inlineStr">
        <is>
          <t>Regulatory driver</t>
        </is>
      </c>
      <c r="C10" s="4" t="inlineStr">
        <is>
          <t>SOX 302 (CEO/CFO certification) · SOX 404(a) (management ICFR assessment)</t>
        </is>
      </c>
    </row>
    <row r="11">
      <c r="B11" s="3" t="inlineStr">
        <is>
          <t>Prepared (draft)</t>
        </is>
      </c>
      <c r="C11" s="4" t="inlineStr">
        <is>
          <t>2026-06-22  ·  Version 1.0 (DRAFT for review with external auditor + SOX advisor)</t>
        </is>
      </c>
    </row>
    <row r="12">
      <c r="B12" s="3" t="inlineStr">
        <is>
          <t>Owner</t>
        </is>
      </c>
      <c r="C12" s="4" t="inlineStr">
        <is>
          <t>SOX PMO / Controller (to assign)</t>
        </is>
      </c>
    </row>
    <row r="15">
      <c r="B15" s="5" t="inlineStr">
        <is>
          <t>EGC implications (read before scoping)</t>
        </is>
      </c>
    </row>
    <row r="16">
      <c r="B16" s="4" t="inlineStr">
        <is>
          <t>• As an EGC, SOX 404(b) AUDITOR ATTESTATION on ICFR is DEFERRED — up to 5 fiscal years post-IPO, or until EGC status is lost (&gt;$1.235B revenue, large-accelerated-filer status, &gt;$1B non-convertible debt/3yr).
• STILL REQUIRED from the EGC's first/second annual report: SOX 302 CEO/CFO certifications and SOX 404(a) MANAGEMENT's assessment of ICFR.
• Your INDEPENDENT FINANCIAL AUDITOR still tests IT-dependent and key controls to the extent they rely on them in the financial-statement audit — so this RCM and the underlying ITGC must be real, documented, and operating, attestation deferral notwithstanding.
• Practical effect: build now; the deferral lowers the formal-attestation bar, NOT the bar for sound, evidenced internal control.</t>
        </is>
      </c>
    </row>
    <row r="17"/>
    <row r="18"/>
    <row r="19"/>
    <row r="20"/>
    <row r="22">
      <c r="B22" s="5" t="inlineStr">
        <is>
          <t>Status legend</t>
        </is>
      </c>
    </row>
    <row r="23">
      <c r="B23" s="6" t="inlineStr">
        <is>
          <t>Implemented</t>
        </is>
      </c>
      <c r="C23" s="4" t="inlineStr">
        <is>
          <t>Control exists in the system/process today (file reference given). Needs documentation + testing of operating effectiveness.</t>
        </is>
      </c>
    </row>
    <row r="24">
      <c r="B24" s="7" t="inlineStr">
        <is>
          <t>Partial</t>
        </is>
      </c>
      <c r="C24" s="4" t="inlineStr">
        <is>
          <t>Control partially present — capability or component exists but must be formalized, enforced, or extended.</t>
        </is>
      </c>
    </row>
    <row r="25">
      <c r="B25" s="8" t="inlineStr">
        <is>
          <t>Gap</t>
        </is>
      </c>
      <c r="C25" s="4" t="inlineStr">
        <is>
          <t>Control not yet implemented — on the remediation plan (see 'Gap Remediation' tab).</t>
        </is>
      </c>
    </row>
    <row r="27">
      <c r="B27" s="9" t="inlineStr">
        <is>
          <t>Disclaimer: This RCM is an engineering/IT-control working draft to accelerate audit readiness. It is not legal, accounting, or SOX-compliance advice. Validate scope, control selection, and testing with your independent audit firm and a qualified SOX advisor.</t>
        </is>
      </c>
    </row>
    <row r="28"/>
    <row r="29"/>
  </sheetData>
  <mergeCells count="4">
    <mergeCell ref="B27:C29"/>
    <mergeCell ref="B3:C3"/>
    <mergeCell ref="B2:C2"/>
    <mergeCell ref="B16:C20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Q130"/>
  <sheetViews>
    <sheetView showGridLines="0" workbookViewId="0">
      <pane xSplit="2" ySplit="1" topLeftCell="C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1" customWidth="1" min="1" max="1"/>
    <col width="17" customWidth="1" min="2" max="2"/>
    <col width="12" customWidth="1" min="3" max="3"/>
    <col width="20" customWidth="1" min="4" max="4"/>
    <col width="30" customWidth="1" min="5" max="5"/>
    <col width="13" customWidth="1" min="6" max="6"/>
    <col width="46" customWidth="1" min="7" max="7"/>
    <col width="9" customWidth="1" min="8" max="8"/>
    <col width="14" customWidth="1" min="9" max="9"/>
    <col width="13" customWidth="1" min="10" max="10"/>
    <col width="16" customWidth="1" min="11" max="11"/>
    <col width="12" customWidth="1" min="12" max="12"/>
    <col width="30" customWidth="1" min="13" max="13"/>
    <col width="34" customWidth="1" min="14" max="14"/>
    <col width="34" customWidth="1" min="15" max="15"/>
    <col width="26" customWidth="1" min="16" max="16"/>
    <col width="12" customWidth="1" min="17" max="17"/>
  </cols>
  <sheetData>
    <row r="1" ht="34" customHeight="1">
      <c r="A1" s="10" t="inlineStr">
        <is>
          <t>Control ID</t>
        </is>
      </c>
      <c r="B1" s="10" t="inlineStr">
        <is>
          <t>Cycle / Process</t>
        </is>
      </c>
      <c r="C1" s="10" t="inlineStr">
        <is>
          <t>Category</t>
        </is>
      </c>
      <c r="D1" s="10" t="inlineStr">
        <is>
          <t>FSLI / Significant Account</t>
        </is>
      </c>
      <c r="E1" s="10" t="inlineStr">
        <is>
          <t>Risk — What Could Go Wrong</t>
        </is>
      </c>
      <c r="F1" s="10" t="inlineStr">
        <is>
          <t>Assertion(s)</t>
        </is>
      </c>
      <c r="G1" s="10" t="inlineStr">
        <is>
          <t>Control Description</t>
        </is>
      </c>
      <c r="H1" s="10" t="inlineStr">
        <is>
          <t>Prev / Det</t>
        </is>
      </c>
      <c r="I1" s="10" t="inlineStr">
        <is>
          <t>Nature</t>
        </is>
      </c>
      <c r="J1" s="10" t="inlineStr">
        <is>
          <t>Frequency</t>
        </is>
      </c>
      <c r="K1" s="10" t="inlineStr">
        <is>
          <t>Control Owner</t>
        </is>
      </c>
      <c r="L1" s="10" t="inlineStr">
        <is>
          <t>COSO Principle</t>
        </is>
      </c>
      <c r="M1" s="10" t="inlineStr">
        <is>
          <t>System / Code Reference</t>
        </is>
      </c>
      <c r="N1" s="10" t="inlineStr">
        <is>
          <t>Test of Design (TOD)</t>
        </is>
      </c>
      <c r="O1" s="10" t="inlineStr">
        <is>
          <t>Test of Operating Effectiveness (TOE)</t>
        </is>
      </c>
      <c r="P1" s="10" t="inlineStr">
        <is>
          <t>Key Evidence</t>
        </is>
      </c>
      <c r="Q1" s="10" t="inlineStr">
        <is>
          <t>Status</t>
        </is>
      </c>
    </row>
    <row r="2">
      <c r="A2" s="11" t="inlineStr">
        <is>
          <t>ELC-01</t>
        </is>
      </c>
      <c r="B2" s="12" t="inlineStr">
        <is>
          <t>Entity-Level</t>
        </is>
      </c>
      <c r="C2" s="13" t="inlineStr">
        <is>
          <t>Entity</t>
        </is>
      </c>
      <c r="D2" s="12" t="inlineStr">
        <is>
          <t>All</t>
        </is>
      </c>
      <c r="E2" s="12" t="inlineStr">
        <is>
          <t>Tone-at-the-top / ethics breaches enable override of controls and fraud.</t>
        </is>
      </c>
      <c r="F2" s="12" t="inlineStr">
        <is>
          <t>—</t>
        </is>
      </c>
      <c r="G2" s="12" t="inlineStr">
        <is>
          <t>Code of conduct &amp; ethics policy issued, acknowledged annually by all staff; conflict-of-interest declarations.</t>
        </is>
      </c>
      <c r="H2" s="13" t="inlineStr">
        <is>
          <t>Prev</t>
        </is>
      </c>
      <c r="I2" s="13" t="inlineStr">
        <is>
          <t>Manual</t>
        </is>
      </c>
      <c r="J2" s="13" t="inlineStr">
        <is>
          <t>Annual</t>
        </is>
      </c>
      <c r="K2" s="12" t="inlineStr">
        <is>
          <t>CEO / HR</t>
        </is>
      </c>
      <c r="L2" s="13" t="inlineStr">
        <is>
          <t>P1</t>
        </is>
      </c>
      <c r="M2" s="12" t="inlineStr">
        <is>
          <t>Policy (non-system)</t>
        </is>
      </c>
      <c r="N2" s="12" t="inlineStr">
        <is>
          <t>Inspect signed policy + acknowledgement register.</t>
        </is>
      </c>
      <c r="O2" s="12" t="inlineStr">
        <is>
          <t>Re-perform: sample staff have current signed acknowledgement.</t>
        </is>
      </c>
      <c r="P2" s="12" t="inlineStr">
        <is>
          <t>Signed policy register</t>
        </is>
      </c>
      <c r="Q2" s="14" t="inlineStr">
        <is>
          <t>Gap</t>
        </is>
      </c>
    </row>
    <row r="3">
      <c r="A3" s="15" t="inlineStr">
        <is>
          <t>ELC-02</t>
        </is>
      </c>
      <c r="B3" s="16" t="inlineStr">
        <is>
          <t>Entity-Level</t>
        </is>
      </c>
      <c r="C3" s="17" t="inlineStr">
        <is>
          <t>Entity</t>
        </is>
      </c>
      <c r="D3" s="16" t="inlineStr">
        <is>
          <t>All</t>
        </is>
      </c>
      <c r="E3" s="16" t="inlineStr">
        <is>
          <t>No independent oversight of financial reporting / ICFR.</t>
        </is>
      </c>
      <c r="F3" s="16" t="inlineStr">
        <is>
          <t>—</t>
        </is>
      </c>
      <c r="G3" s="16" t="inlineStr">
        <is>
          <t>Audit committee charter; quarterly review of financial reporting, ICFR status and audit findings.</t>
        </is>
      </c>
      <c r="H3" s="17" t="inlineStr">
        <is>
          <t>Det</t>
        </is>
      </c>
      <c r="I3" s="17" t="inlineStr">
        <is>
          <t>Manual</t>
        </is>
      </c>
      <c r="J3" s="17" t="inlineStr">
        <is>
          <t>Quarterly</t>
        </is>
      </c>
      <c r="K3" s="16" t="inlineStr">
        <is>
          <t>Board / Audit Cttee</t>
        </is>
      </c>
      <c r="L3" s="17" t="inlineStr">
        <is>
          <t>P2</t>
        </is>
      </c>
      <c r="M3" s="16" t="inlineStr">
        <is>
          <t>Governance (non-system)</t>
        </is>
      </c>
      <c r="N3" s="16" t="inlineStr">
        <is>
          <t>Inspect charter + minutes.</t>
        </is>
      </c>
      <c r="O3" s="16" t="inlineStr">
        <is>
          <t>Inspect minutes evidencing ICFR oversight each quarter.</t>
        </is>
      </c>
      <c r="P3" s="16" t="inlineStr">
        <is>
          <t>AC minutes</t>
        </is>
      </c>
      <c r="Q3" s="14" t="inlineStr">
        <is>
          <t>Gap</t>
        </is>
      </c>
    </row>
    <row r="4">
      <c r="A4" s="11" t="inlineStr">
        <is>
          <t>ELC-03</t>
        </is>
      </c>
      <c r="B4" s="12" t="inlineStr">
        <is>
          <t>Entity-Level</t>
        </is>
      </c>
      <c r="C4" s="13" t="inlineStr">
        <is>
          <t>Entity</t>
        </is>
      </c>
      <c r="D4" s="12" t="inlineStr">
        <is>
          <t>All</t>
        </is>
      </c>
      <c r="E4" s="12" t="inlineStr">
        <is>
          <t>Transactions executed without proper authority.</t>
        </is>
      </c>
      <c r="F4" s="12" t="inlineStr">
        <is>
          <t>Authorization</t>
        </is>
      </c>
      <c r="G4" s="12" t="inlineStr">
        <is>
          <t>Documented delegation-of-authority / approval matrix mapped to system roles &amp; limits.</t>
        </is>
      </c>
      <c r="H4" s="13" t="inlineStr">
        <is>
          <t>Prev</t>
        </is>
      </c>
      <c r="I4" s="13" t="inlineStr">
        <is>
          <t>Manual</t>
        </is>
      </c>
      <c r="J4" s="13" t="inlineStr">
        <is>
          <t>Annual</t>
        </is>
      </c>
      <c r="K4" s="12" t="inlineStr">
        <is>
          <t>CFO</t>
        </is>
      </c>
      <c r="L4" s="13" t="inlineStr">
        <is>
          <t>P3</t>
        </is>
      </c>
      <c r="M4" s="12" t="inlineStr">
        <is>
          <t>DoA matrix ↔ permissions.ts</t>
        </is>
      </c>
      <c r="N4" s="12" t="inlineStr">
        <is>
          <t>Inspect DoA matrix; reconcile to RBAC roles.</t>
        </is>
      </c>
      <c r="O4" s="12" t="inlineStr">
        <is>
          <t>Sample approvals respect DoA thresholds.</t>
        </is>
      </c>
      <c r="P4" s="12" t="inlineStr">
        <is>
          <t>Approval matrix</t>
        </is>
      </c>
      <c r="Q4" s="14" t="inlineStr">
        <is>
          <t>Gap</t>
        </is>
      </c>
    </row>
    <row r="5">
      <c r="A5" s="15" t="inlineStr">
        <is>
          <t>ELC-04</t>
        </is>
      </c>
      <c r="B5" s="16" t="inlineStr">
        <is>
          <t>Entity-Level</t>
        </is>
      </c>
      <c r="C5" s="17" t="inlineStr">
        <is>
          <t>Entity</t>
        </is>
      </c>
      <c r="D5" s="16" t="inlineStr">
        <is>
          <t>All</t>
        </is>
      </c>
      <c r="E5" s="16" t="inlineStr">
        <is>
          <t>Misconduct undetected; no safe reporting channel.</t>
        </is>
      </c>
      <c r="F5" s="16" t="inlineStr">
        <is>
          <t>—</t>
        </is>
      </c>
      <c r="G5" s="16" t="inlineStr">
        <is>
          <t>Anonymous whistleblower / ethics hotline with non-retaliation policy and case tracking.</t>
        </is>
      </c>
      <c r="H5" s="17" t="inlineStr">
        <is>
          <t>Det</t>
        </is>
      </c>
      <c r="I5" s="17" t="inlineStr">
        <is>
          <t>Manual</t>
        </is>
      </c>
      <c r="J5" s="17" t="inlineStr">
        <is>
          <t>Continuous</t>
        </is>
      </c>
      <c r="K5" s="16" t="inlineStr">
        <is>
          <t>Audit Cttee</t>
        </is>
      </c>
      <c r="L5" s="17" t="inlineStr">
        <is>
          <t>P1</t>
        </is>
      </c>
      <c r="M5" s="16" t="inlineStr">
        <is>
          <t>External hotline</t>
        </is>
      </c>
      <c r="N5" s="16" t="inlineStr">
        <is>
          <t>Inspect hotline setup + policy.</t>
        </is>
      </c>
      <c r="O5" s="16" t="inlineStr">
        <is>
          <t>Inspect case log + resolution evidence.</t>
        </is>
      </c>
      <c r="P5" s="16" t="inlineStr">
        <is>
          <t>Hotline log</t>
        </is>
      </c>
      <c r="Q5" s="14" t="inlineStr">
        <is>
          <t>Gap</t>
        </is>
      </c>
    </row>
    <row r="6">
      <c r="A6" s="11" t="inlineStr">
        <is>
          <t>ELC-05</t>
        </is>
      </c>
      <c r="B6" s="12" t="inlineStr">
        <is>
          <t>Entity-Level</t>
        </is>
      </c>
      <c r="C6" s="13" t="inlineStr">
        <is>
          <t>Entity</t>
        </is>
      </c>
      <c r="D6" s="12" t="inlineStr">
        <is>
          <t>All</t>
        </is>
      </c>
      <c r="E6" s="12" t="inlineStr">
        <is>
          <t>Fraud risks not identified / mitigated.</t>
        </is>
      </c>
      <c r="F6" s="12" t="inlineStr">
        <is>
          <t>—</t>
        </is>
      </c>
      <c r="G6" s="12" t="inlineStr">
        <is>
          <t>Annual fraud risk assessment covering revenue, cash, JE override, related parties.</t>
        </is>
      </c>
      <c r="H6" s="13" t="inlineStr">
        <is>
          <t>Det</t>
        </is>
      </c>
      <c r="I6" s="13" t="inlineStr">
        <is>
          <t>Manual</t>
        </is>
      </c>
      <c r="J6" s="13" t="inlineStr">
        <is>
          <t>Annual</t>
        </is>
      </c>
      <c r="K6" s="12" t="inlineStr">
        <is>
          <t>CFO / IA</t>
        </is>
      </c>
      <c r="L6" s="13" t="inlineStr">
        <is>
          <t>P8</t>
        </is>
      </c>
      <c r="M6" s="12" t="inlineStr">
        <is>
          <t>Fraud risk register</t>
        </is>
      </c>
      <c r="N6" s="12" t="inlineStr">
        <is>
          <t>Inspect risk assessment.</t>
        </is>
      </c>
      <c r="O6" s="12" t="inlineStr">
        <is>
          <t>Inspect that identified risks map to controls in this RCM.</t>
        </is>
      </c>
      <c r="P6" s="12" t="inlineStr">
        <is>
          <t>Fraud matrix</t>
        </is>
      </c>
      <c r="Q6" s="14" t="inlineStr">
        <is>
          <t>Gap</t>
        </is>
      </c>
    </row>
    <row r="7">
      <c r="A7" s="15" t="inlineStr">
        <is>
          <t>ELC-06</t>
        </is>
      </c>
      <c r="B7" s="16" t="inlineStr">
        <is>
          <t>Entity-Level</t>
        </is>
      </c>
      <c r="C7" s="17" t="inlineStr">
        <is>
          <t>Entity</t>
        </is>
      </c>
      <c r="D7" s="16" t="inlineStr">
        <is>
          <t>All</t>
        </is>
      </c>
      <c r="E7" s="16" t="inlineStr">
        <is>
          <t>Errors in results undetected by management.</t>
        </is>
      </c>
      <c r="F7" s="16" t="inlineStr">
        <is>
          <t>Accuracy</t>
        </is>
      </c>
      <c r="G7" s="16" t="inlineStr">
        <is>
          <t>Management review of actuals vs budget/forecast with documented investigation of variances — system-supported and EVIDENCED. The budget-vs-actual report (GET /api/ledger/budget-vs-actual) flags MATERIAL variances per line (|variance| &gt;= THB 1,000 AND &gt;= 10% of budget, or unbudgeted actual spend) with material/requires_review flags and a review summary (material_count, requires_review_count, unfavorable_total). Management records a REVIEW SIGN-OFF (POST /api/ledger/budget-review/sign-off — a required follow-up note; captures the material-variance count + unfavourable total at review time) which is retained as append-only evidence (budget_reviews) and surfaced back on the report as last_signoff; the review history (GET /api/ledger/budget-reviews) is the sample-able audit trail of monthly variance review + follow-up.</t>
        </is>
      </c>
      <c r="H7" s="17" t="inlineStr">
        <is>
          <t>Det</t>
        </is>
      </c>
      <c r="I7" s="17" t="inlineStr">
        <is>
          <t>Hybrid</t>
        </is>
      </c>
      <c r="J7" s="17" t="inlineStr">
        <is>
          <t>Monthly</t>
        </is>
      </c>
      <c r="K7" s="16" t="inlineStr">
        <is>
          <t>CFO / Controller</t>
        </is>
      </c>
      <c r="L7" s="17" t="inlineStr">
        <is>
          <t>P16</t>
        </is>
      </c>
      <c r="M7" s="16" t="inlineStr">
        <is>
          <t>budget.service.ts budgetVsActual(material/requires_review flags + review summary)/signOffReview/listReviews; budget.controller.ts (budget-review/sign-off, budget-reviews); schema/budgets.ts budget_reviews + migration 0144; cutover/budget.ts (ToE)</t>
        </is>
      </c>
      <c r="N7" s="16" t="inlineStr">
        <is>
          <t>Inspect the materiality flagging on budget-vs-actual + the recorded sign-off (reviewer, material count, follow-up note) + the review history.</t>
        </is>
      </c>
      <c r="O7" s="16" t="inlineStr">
        <is>
          <t>Re-perform: post an actual that breaches a budget materially, confirm the line is flagged material/requires_review and the summary counts it; sign off with a note, confirm the sign-off records the material count + unfavourable total and the report then shows last_signoff and the history lists it (re-performed by the budget harness).</t>
        </is>
      </c>
      <c r="P7" s="16" t="inlineStr">
        <is>
          <t>Budget-vs-actual material-variance report + review sign-off log</t>
        </is>
      </c>
      <c r="Q7" s="18" t="inlineStr">
        <is>
          <t>Implemented</t>
        </is>
      </c>
    </row>
    <row r="8">
      <c r="A8" s="11" t="inlineStr">
        <is>
          <t>ITGC-AC-01</t>
        </is>
      </c>
      <c r="B8" s="12" t="inlineStr">
        <is>
          <t>ITGC · Access</t>
        </is>
      </c>
      <c r="C8" s="13" t="inlineStr">
        <is>
          <t>ITGC</t>
        </is>
      </c>
      <c r="D8" s="12" t="inlineStr">
        <is>
          <t>All</t>
        </is>
      </c>
      <c r="E8" s="12" t="inlineStr">
        <is>
          <t>Unauthenticated access to financial data/functions.</t>
        </is>
      </c>
      <c r="F8" s="12" t="inlineStr">
        <is>
          <t>Restricted access</t>
        </is>
      </c>
      <c r="G8" s="12" t="inlineStr">
        <is>
          <t>Global JWT auth guard — every endpoint requires a valid token/API key unless explicitly @Public.</t>
        </is>
      </c>
      <c r="H8" s="13" t="inlineStr">
        <is>
          <t>Prev</t>
        </is>
      </c>
      <c r="I8" s="13" t="inlineStr">
        <is>
          <t>Automated</t>
        </is>
      </c>
      <c r="J8" s="13" t="inlineStr">
        <is>
          <t>Continuous</t>
        </is>
      </c>
      <c r="K8" s="12" t="inlineStr">
        <is>
          <t>Eng Lead</t>
        </is>
      </c>
      <c r="L8" s="13" t="inlineStr">
        <is>
          <t>P11</t>
        </is>
      </c>
      <c r="M8" s="12" t="inlineStr">
        <is>
          <t>common/guards.ts (JwtAuthGuard); app.module.ts</t>
        </is>
      </c>
      <c r="N8" s="12" t="inlineStr">
        <is>
          <t>Inspect global guard registration; attempt unauthenticated call → 401.</t>
        </is>
      </c>
      <c r="O8" s="12" t="inlineStr">
        <is>
          <t>Re-perform on endpoint sample; review access logs over period.</t>
        </is>
      </c>
      <c r="P8" s="12" t="inlineStr">
        <is>
          <t>Config + 401 test</t>
        </is>
      </c>
      <c r="Q8" s="18" t="inlineStr">
        <is>
          <t>Implemented</t>
        </is>
      </c>
    </row>
    <row r="9">
      <c r="A9" s="15" t="inlineStr">
        <is>
          <t>ITGC-AC-02</t>
        </is>
      </c>
      <c r="B9" s="16" t="inlineStr">
        <is>
          <t>ITGC · Access</t>
        </is>
      </c>
      <c r="C9" s="17" t="inlineStr">
        <is>
          <t>ITGC</t>
        </is>
      </c>
      <c r="D9" s="16" t="inlineStr">
        <is>
          <t>All</t>
        </is>
      </c>
      <c r="E9" s="16" t="inlineStr">
        <is>
          <t>Users perform actions beyond their role; destructive ops over-granted.</t>
        </is>
      </c>
      <c r="F9" s="16" t="inlineStr">
        <is>
          <t>Authorization</t>
        </is>
      </c>
      <c r="G9" s="16" t="inlineStr">
        <is>
          <t>RBAC — 37 fine-grained permissions; @Permissions enforced; refund/void staff-only; fiscal close = exec.</t>
        </is>
      </c>
      <c r="H9" s="17" t="inlineStr">
        <is>
          <t>Prev</t>
        </is>
      </c>
      <c r="I9" s="17" t="inlineStr">
        <is>
          <t>Automated</t>
        </is>
      </c>
      <c r="J9" s="17" t="inlineStr">
        <is>
          <t>Continuous</t>
        </is>
      </c>
      <c r="K9" s="16" t="inlineStr">
        <is>
          <t>Eng Lead / Controller</t>
        </is>
      </c>
      <c r="L9" s="17" t="inlineStr">
        <is>
          <t>P10/P11</t>
        </is>
      </c>
      <c r="M9" s="16" t="inlineStr">
        <is>
          <t>guards.ts (PermissionsGuard); packages/shared/permissions.ts; payments.controller.ts; ledger.controller.ts</t>
        </is>
      </c>
      <c r="N9" s="16" t="inlineStr">
        <is>
          <t>Inspect role→perm map; attempt over-privileged call → 403.</t>
        </is>
      </c>
      <c r="O9" s="16" t="inlineStr">
        <is>
          <t>Re-perform across role matrix; tie to UAR (AC-08).</t>
        </is>
      </c>
      <c r="P9" s="16" t="inlineStr">
        <is>
          <t>Perm map + 403 tests</t>
        </is>
      </c>
      <c r="Q9" s="18" t="inlineStr">
        <is>
          <t>Implemented</t>
        </is>
      </c>
    </row>
    <row r="10">
      <c r="A10" s="11" t="inlineStr">
        <is>
          <t>ITGC-AC-03</t>
        </is>
      </c>
      <c r="B10" s="12" t="inlineStr">
        <is>
          <t>ITGC · Access</t>
        </is>
      </c>
      <c r="C10" s="13" t="inlineStr">
        <is>
          <t>ITGC</t>
        </is>
      </c>
      <c r="D10" s="12" t="inlineStr">
        <is>
          <t>All</t>
        </is>
      </c>
      <c r="E10" s="12" t="inlineStr">
        <is>
          <t>Cross-tenant data leakage / mis-posting.</t>
        </is>
      </c>
      <c r="F10" s="12" t="inlineStr">
        <is>
          <t>Restricted access</t>
        </is>
      </c>
      <c r="G10" s="12" t="inlineStr">
        <is>
          <t>PostgreSQL Row-Level Security; SET LOCAL ROLE app_user + tenant pin; USING+WITH CHECK; fail-closed in prod.</t>
        </is>
      </c>
      <c r="H10" s="13" t="inlineStr">
        <is>
          <t>Prev</t>
        </is>
      </c>
      <c r="I10" s="13" t="inlineStr">
        <is>
          <t>Automated</t>
        </is>
      </c>
      <c r="J10" s="13" t="inlineStr">
        <is>
          <t>Continuous</t>
        </is>
      </c>
      <c r="K10" s="12" t="inlineStr">
        <is>
          <t>Eng Lead</t>
        </is>
      </c>
      <c r="L10" s="13" t="inlineStr">
        <is>
          <t>P11</t>
        </is>
      </c>
      <c r="M10" s="12" t="inlineStr">
        <is>
          <t>common/tenant-tx.interceptor.ts; drizzle/0002_rls.sql; 0003_tenants_rls.sql</t>
        </is>
      </c>
      <c r="N10" s="12" t="inlineStr">
        <is>
          <t>Inspect RLS policies; attempt cross-tenant read/insert → blocked.</t>
        </is>
      </c>
      <c r="O10" s="12" t="inlineStr">
        <is>
          <t>Re-perform cross-tenant tests; review for RLS-disabled paths.</t>
        </is>
      </c>
      <c r="P10" s="12" t="inlineStr">
        <is>
          <t>RLS policy + test</t>
        </is>
      </c>
      <c r="Q10" s="18" t="inlineStr">
        <is>
          <t>Implemented</t>
        </is>
      </c>
    </row>
    <row r="11">
      <c r="A11" s="15" t="inlineStr">
        <is>
          <t>ITGC-AC-04</t>
        </is>
      </c>
      <c r="B11" s="16" t="inlineStr">
        <is>
          <t>ITGC · Access</t>
        </is>
      </c>
      <c r="C11" s="17" t="inlineStr">
        <is>
          <t>ITGC</t>
        </is>
      </c>
      <c r="D11" s="16" t="inlineStr">
        <is>
          <t>All / PII</t>
        </is>
      </c>
      <c r="E11" s="16" t="inlineStr">
        <is>
          <t>Secrets/PII exposed at rest.</t>
        </is>
      </c>
      <c r="F11" s="16" t="inlineStr">
        <is>
          <t>Confidentiality</t>
        </is>
      </c>
      <c r="G11" s="16" t="inlineStr">
        <is>
          <t>AES-256-GCM encryption-at-rest for secrets (TOTP seeds, webhook secrets); APP_ENC_KEY required in prod.</t>
        </is>
      </c>
      <c r="H11" s="17" t="inlineStr">
        <is>
          <t>Prev</t>
        </is>
      </c>
      <c r="I11" s="17" t="inlineStr">
        <is>
          <t>Automated</t>
        </is>
      </c>
      <c r="J11" s="17" t="inlineStr">
        <is>
          <t>Continuous</t>
        </is>
      </c>
      <c r="K11" s="16" t="inlineStr">
        <is>
          <t>Eng Lead</t>
        </is>
      </c>
      <c r="L11" s="17" t="inlineStr">
        <is>
          <t>P11</t>
        </is>
      </c>
      <c r="M11" s="16" t="inlineStr">
        <is>
          <t>common/crypto.ts</t>
        </is>
      </c>
      <c r="N11" s="16" t="inlineStr">
        <is>
          <t>Inspect cipher + fail-closed key gate.</t>
        </is>
      </c>
      <c r="O11" s="16" t="inlineStr">
        <is>
          <t>Confirm prod boot fails without APP_ENC_KEY; sample encrypted rows.</t>
        </is>
      </c>
      <c r="P11" s="16" t="inlineStr">
        <is>
          <t>Code + boot test</t>
        </is>
      </c>
      <c r="Q11" s="18" t="inlineStr">
        <is>
          <t>Implemented</t>
        </is>
      </c>
    </row>
    <row r="12">
      <c r="A12" s="11" t="inlineStr">
        <is>
          <t>ITGC-AC-05</t>
        </is>
      </c>
      <c r="B12" s="12" t="inlineStr">
        <is>
          <t>ITGC · Access</t>
        </is>
      </c>
      <c r="C12" s="13" t="inlineStr">
        <is>
          <t>ITGC</t>
        </is>
      </c>
      <c r="D12" s="12" t="inlineStr">
        <is>
          <t>All</t>
        </is>
      </c>
      <c r="E12" s="12" t="inlineStr">
        <is>
          <t>Machine credential escalates to admin / HQ bypass.</t>
        </is>
      </c>
      <c r="F12" s="12" t="inlineStr">
        <is>
          <t>Authorization</t>
        </is>
      </c>
      <c r="G12" s="12" t="inlineStr">
        <is>
          <t>API keys are downscoped (never Admin/HQ-bypass) and RLS-bound to their own tenant.</t>
        </is>
      </c>
      <c r="H12" s="13" t="inlineStr">
        <is>
          <t>Prev</t>
        </is>
      </c>
      <c r="I12" s="13" t="inlineStr">
        <is>
          <t>Automated</t>
        </is>
      </c>
      <c r="J12" s="13" t="inlineStr">
        <is>
          <t>Continuous</t>
        </is>
      </c>
      <c r="K12" s="12" t="inlineStr">
        <is>
          <t>Eng Lead</t>
        </is>
      </c>
      <c r="L12" s="13" t="inlineStr">
        <is>
          <t>P11</t>
        </is>
      </c>
      <c r="M12" s="12" t="inlineStr">
        <is>
          <t>guards.ts (api-key path); platform/api-key.service.ts</t>
        </is>
      </c>
      <c r="N12" s="12" t="inlineStr">
        <is>
          <t>Inspect key→role mapping (role='Sales', no bypass).</t>
        </is>
      </c>
      <c r="O12" s="12" t="inlineStr">
        <is>
          <t>Attempt admin action with API key → denied.</t>
        </is>
      </c>
      <c r="P12" s="12" t="inlineStr">
        <is>
          <t>Code + test</t>
        </is>
      </c>
      <c r="Q12" s="18" t="inlineStr">
        <is>
          <t>Implemented</t>
        </is>
      </c>
    </row>
    <row r="13">
      <c r="A13" s="15" t="inlineStr">
        <is>
          <t>ITGC-AC-06</t>
        </is>
      </c>
      <c r="B13" s="16" t="inlineStr">
        <is>
          <t>ITGC · Access</t>
        </is>
      </c>
      <c r="C13" s="17" t="inlineStr">
        <is>
          <t>ITGC</t>
        </is>
      </c>
      <c r="D13" s="16" t="inlineStr">
        <is>
          <t>All</t>
        </is>
      </c>
      <c r="E13" s="16" t="inlineStr">
        <is>
          <t>Stolen password yields full access to finance functions.</t>
        </is>
      </c>
      <c r="F13" s="16" t="inlineStr">
        <is>
          <t>Restricted access</t>
        </is>
      </c>
      <c r="G13" s="16" t="inlineStr">
        <is>
          <t>Multi-factor authentication (TOTP) enforced for Admin and finance roles.</t>
        </is>
      </c>
      <c r="H13" s="17" t="inlineStr">
        <is>
          <t>Prev</t>
        </is>
      </c>
      <c r="I13" s="17" t="inlineStr">
        <is>
          <t>Automated</t>
        </is>
      </c>
      <c r="J13" s="17" t="inlineStr">
        <is>
          <t>Continuous</t>
        </is>
      </c>
      <c r="K13" s="16" t="inlineStr">
        <is>
          <t>IT Security</t>
        </is>
      </c>
      <c r="L13" s="17" t="inlineStr">
        <is>
          <t>P11</t>
        </is>
      </c>
      <c r="M13" s="16" t="inlineStr">
        <is>
          <t>auth.service.ts (login TOTP gate; setup/enable/disable); permissions.ts (requiresMfa policy); crypto.ts (AES-256-GCM seed); cutover/compliance.ts (ToE)</t>
        </is>
      </c>
      <c r="N13" s="16" t="inlineStr">
        <is>
          <t>Inspect MFA enforcement policy for privileged roles.</t>
        </is>
      </c>
      <c r="O13" s="16" t="inlineStr">
        <is>
          <t>Sample privileged logins require 2nd factor (MFA-enabled login w/o code → 401; un-enrolled privileged user flagged must_setup_mfa) — re-performed by the harness.</t>
        </is>
      </c>
      <c r="P13" s="16" t="inlineStr">
        <is>
          <t>MFA config</t>
        </is>
      </c>
      <c r="Q13" s="18" t="inlineStr">
        <is>
          <t>Implemented</t>
        </is>
      </c>
    </row>
    <row r="14">
      <c r="A14" s="11" t="inlineStr">
        <is>
          <t>ITGC-AC-07</t>
        </is>
      </c>
      <c r="B14" s="12" t="inlineStr">
        <is>
          <t>ITGC · Access</t>
        </is>
      </c>
      <c r="C14" s="13" t="inlineStr">
        <is>
          <t>ITGC</t>
        </is>
      </c>
      <c r="D14" s="12" t="inlineStr">
        <is>
          <t>All</t>
        </is>
      </c>
      <c r="E14" s="12" t="inlineStr">
        <is>
          <t>Session token stealable via XSS; weak/stale credentials; sessions never expire.</t>
        </is>
      </c>
      <c r="F14" s="12" t="inlineStr">
        <is>
          <t>Restricted access</t>
        </is>
      </c>
      <c r="G14" s="12" t="inlineStr">
        <is>
          <t>Web session is an httpOnly JWT cookie (token unreadable by JS → XSS can't exfiltrate it) + CSRF double-submit on cookie-authenticated mutations + a web Content-Security-Policy; plus password policy, forced first-login change, and JWT/session expiry. Bearer/API-key clients are CSRF-exempt (no ambient cookie).</t>
        </is>
      </c>
      <c r="H14" s="13" t="inlineStr">
        <is>
          <t>Prev</t>
        </is>
      </c>
      <c r="I14" s="13" t="inlineStr">
        <is>
          <t>Automated</t>
        </is>
      </c>
      <c r="J14" s="13" t="inlineStr">
        <is>
          <t>Continuous</t>
        </is>
      </c>
      <c r="K14" s="12" t="inlineStr">
        <is>
          <t>IT Security</t>
        </is>
      </c>
      <c r="L14" s="13" t="inlineStr">
        <is>
          <t>P11</t>
        </is>
      </c>
      <c r="M14" s="12" t="inlineStr">
        <is>
          <t>common/cookies.ts; common/guards.ts (cookie auth + CSRF); auth.controller.ts (login/logout set/clear cookies); apps/web/next.config.mjs (CSP); 0045_must_change_password; cutover/cookie-auth.ts (ToE)</t>
        </is>
      </c>
      <c r="N14" s="12" t="inlineStr">
        <is>
          <t>Inspect cookie flags (HttpOnly/SameSite), CSRF enforcement, and CSP.</t>
        </is>
      </c>
      <c r="O14" s="12" t="inlineStr">
        <is>
          <t>Sample: cookie auth works; cookie mutation w/o X-CSRF-Token → 403; Bearer exempt; logout clears; expired token rejected (re-performed by the harness).</t>
        </is>
      </c>
      <c r="P14" s="12" t="inlineStr">
        <is>
          <t>Auth config; cookie-auth ToE</t>
        </is>
      </c>
      <c r="Q14" s="18" t="inlineStr">
        <is>
          <t>Implemented</t>
        </is>
      </c>
    </row>
    <row r="15">
      <c r="A15" s="15" t="inlineStr">
        <is>
          <t>ITGC-AC-08</t>
        </is>
      </c>
      <c r="B15" s="16" t="inlineStr">
        <is>
          <t>ITGC · Access</t>
        </is>
      </c>
      <c r="C15" s="17" t="inlineStr">
        <is>
          <t>ITGC</t>
        </is>
      </c>
      <c r="D15" s="16" t="inlineStr">
        <is>
          <t>All</t>
        </is>
      </c>
      <c r="E15" s="16" t="inlineStr">
        <is>
          <t>Access creep; terminated users retain access.</t>
        </is>
      </c>
      <c r="F15" s="16" t="inlineStr">
        <is>
          <t>Restricted access</t>
        </is>
      </c>
      <c r="G15" s="16" t="inlineStr">
        <is>
          <t>Quarterly User Access Review — recertify every user × permission; remove on termination.</t>
        </is>
      </c>
      <c r="H15" s="17" t="inlineStr">
        <is>
          <t>Det</t>
        </is>
      </c>
      <c r="I15" s="17" t="inlineStr">
        <is>
          <t>Manual</t>
        </is>
      </c>
      <c r="J15" s="17" t="inlineStr">
        <is>
          <t>Quarterly</t>
        </is>
      </c>
      <c r="K15" s="16" t="inlineStr">
        <is>
          <t>Controller / IT</t>
        </is>
      </c>
      <c r="L15" s="17" t="inlineStr">
        <is>
          <t>P11/P16</t>
        </is>
      </c>
      <c r="M15" s="16" t="inlineStr">
        <is>
          <t>admin-users.service.ts (access-review / export CSV / certify); admin-users.controller.ts; cutover/compliance.ts (ToE)</t>
        </is>
      </c>
      <c r="N15" s="16" t="inlineStr">
        <is>
          <t>Inspect UAR procedure + sample sign-off.</t>
        </is>
      </c>
      <c r="O15" s="16" t="inlineStr">
        <is>
          <t>Re-perform: each quarter reviewed &amp; exceptions remediated (automated harness re-performs report/export/certify).</t>
        </is>
      </c>
      <c r="P15" s="16" t="inlineStr">
        <is>
          <t>UAR sign-off</t>
        </is>
      </c>
      <c r="Q15" s="18" t="inlineStr">
        <is>
          <t>Implemented</t>
        </is>
      </c>
    </row>
    <row r="16">
      <c r="A16" s="11" t="inlineStr">
        <is>
          <t>ITGC-AC-09</t>
        </is>
      </c>
      <c r="B16" s="12" t="inlineStr">
        <is>
          <t>ITGC · Access</t>
        </is>
      </c>
      <c r="C16" s="13" t="inlineStr">
        <is>
          <t>ITGC</t>
        </is>
      </c>
      <c r="D16" s="12" t="inlineStr">
        <is>
          <t>All</t>
        </is>
      </c>
      <c r="E16" s="12" t="inlineStr">
        <is>
          <t>Conflicting duties in one user enable fraud (e.g., post &amp; approve JE).</t>
        </is>
      </c>
      <c r="F16" s="12" t="inlineStr">
        <is>
          <t>Authorization</t>
        </is>
      </c>
      <c r="G16" s="12" t="inlineStr">
        <is>
          <t>Segregation-of-Duties conflict ruleset with preventive blocks + detective conflict report.</t>
        </is>
      </c>
      <c r="H16" s="13" t="inlineStr">
        <is>
          <t>Prev/Det</t>
        </is>
      </c>
      <c r="I16" s="13" t="inlineStr">
        <is>
          <t>Auto+Manual</t>
        </is>
      </c>
      <c r="J16" s="13" t="inlineStr">
        <is>
          <t>Quarterly</t>
        </is>
      </c>
      <c r="K16" s="12" t="inlineStr">
        <is>
          <t>Controller / IT</t>
        </is>
      </c>
      <c r="L16" s="13" t="inlineStr">
        <is>
          <t>P10/P11</t>
        </is>
      </c>
      <c r="M16" s="12" t="inlineStr">
        <is>
          <t>permissions.ts (SOD_RULES, 13 rules); admin-users.service.ts (assertNoSodConflict preventive block); sod.service.ts (detective report); cutover/compliance.ts (ToE)</t>
        </is>
      </c>
      <c r="N16" s="12" t="inlineStr">
        <is>
          <t>Inspect SoD rule set vs role design.</t>
        </is>
      </c>
      <c r="O16" s="12" t="inlineStr">
        <is>
          <t>Run conflict report; assigning a conflicting set is blocked (422) unless justified-override+reason — re-performed by the harness.</t>
        </is>
      </c>
      <c r="P16" s="12" t="inlineStr">
        <is>
          <t>SoD report</t>
        </is>
      </c>
      <c r="Q16" s="18" t="inlineStr">
        <is>
          <t>Implemented</t>
        </is>
      </c>
    </row>
    <row r="17">
      <c r="A17" s="15" t="inlineStr">
        <is>
          <t>ITGC-AC-10</t>
        </is>
      </c>
      <c r="B17" s="16" t="inlineStr">
        <is>
          <t>ITGC · Access</t>
        </is>
      </c>
      <c r="C17" s="17" t="inlineStr">
        <is>
          <t>ITGC</t>
        </is>
      </c>
      <c r="D17" s="16" t="inlineStr">
        <is>
          <t>All</t>
        </is>
      </c>
      <c r="E17" s="16" t="inlineStr">
        <is>
          <t>No record of who changed financial data.</t>
        </is>
      </c>
      <c r="F17" s="16" t="inlineStr">
        <is>
          <t>Completeness</t>
        </is>
      </c>
      <c r="G17" s="16" t="inlineStr">
        <is>
          <t>Audit trail — every mutating request logged with user, timestamp, IP, action, status (field-level before/after is ITGC-AC-14).</t>
        </is>
      </c>
      <c r="H17" s="17" t="inlineStr">
        <is>
          <t>Det</t>
        </is>
      </c>
      <c r="I17" s="17" t="inlineStr">
        <is>
          <t>Automated</t>
        </is>
      </c>
      <c r="J17" s="17" t="inlineStr">
        <is>
          <t>Continuous</t>
        </is>
      </c>
      <c r="K17" s="16" t="inlineStr">
        <is>
          <t>Eng Lead</t>
        </is>
      </c>
      <c r="L17" s="17" t="inlineStr">
        <is>
          <t>P13/P16</t>
        </is>
      </c>
      <c r="M17" s="16" t="inlineStr">
        <is>
          <t>common/audit.interceptor.ts; status-log.service.ts; drizzle/0062_audit_log_immutable.sql (append-only trigger); cutover/compliance.ts (ToE)</t>
        </is>
      </c>
      <c r="N17" s="16" t="inlineStr">
        <is>
          <t>Inspect logged actions/fields; confirm coverage of GL/AR/AP/cash; verify append-only trigger.</t>
        </is>
      </c>
      <c r="O17" s="16" t="inlineStr">
        <is>
          <t>Sample transactions traced to audit log; UPDATE/DELETE on audit_log rejected (re-performed by the harness).</t>
        </is>
      </c>
      <c r="P17" s="16" t="inlineStr">
        <is>
          <t>Audit log</t>
        </is>
      </c>
      <c r="Q17" s="18" t="inlineStr">
        <is>
          <t>Implemented</t>
        </is>
      </c>
    </row>
    <row r="18">
      <c r="A18" s="11" t="inlineStr">
        <is>
          <t>ITGC-AC-11</t>
        </is>
      </c>
      <c r="B18" s="12" t="inlineStr">
        <is>
          <t>ITGC · Access</t>
        </is>
      </c>
      <c r="C18" s="13" t="inlineStr">
        <is>
          <t>ITGC</t>
        </is>
      </c>
      <c r="D18" s="12" t="inlineStr">
        <is>
          <t>Revenue / Cash</t>
        </is>
      </c>
      <c r="E18" s="12" t="inlineStr">
        <is>
          <t>Past financial records altered/deleted undetectably.</t>
        </is>
      </c>
      <c r="F18" s="12" t="inlineStr">
        <is>
          <t>Integrity</t>
        </is>
      </c>
      <c r="G18" s="12" t="inlineStr">
        <is>
          <t>Append-only, per-tenant HASH-CHAINED electronic journal — altering any row breaks later hashes (tamper-evident).</t>
        </is>
      </c>
      <c r="H18" s="13" t="inlineStr">
        <is>
          <t>Prev/Det</t>
        </is>
      </c>
      <c r="I18" s="13" t="inlineStr">
        <is>
          <t>Automated</t>
        </is>
      </c>
      <c r="J18" s="13" t="inlineStr">
        <is>
          <t>Continuous</t>
        </is>
      </c>
      <c r="K18" s="12" t="inlineStr">
        <is>
          <t>Eng Lead</t>
        </is>
      </c>
      <c r="L18" s="13" t="inlineStr">
        <is>
          <t>P13</t>
        </is>
      </c>
      <c r="M18" s="12" t="inlineStr">
        <is>
          <t>pos-fiscal/journal.service.ts (prevHash→hash chain, FOR UPDATE)</t>
        </is>
      </c>
      <c r="N18" s="12" t="inlineStr">
        <is>
          <t>Inspect chaining logic; recompute a chain segment.</t>
        </is>
      </c>
      <c r="O18" s="12" t="inlineStr">
        <is>
          <t>Re-verify chain integrity over a period; test tamper detection.</t>
        </is>
      </c>
      <c r="P18" s="12" t="inlineStr">
        <is>
          <t>Chain verify</t>
        </is>
      </c>
      <c r="Q18" s="18" t="inlineStr">
        <is>
          <t>Implemented</t>
        </is>
      </c>
    </row>
    <row r="19">
      <c r="A19" s="15" t="inlineStr">
        <is>
          <t>ITGC-AC-12</t>
        </is>
      </c>
      <c r="B19" s="16" t="inlineStr">
        <is>
          <t>ITGC · Access</t>
        </is>
      </c>
      <c r="C19" s="17" t="inlineStr">
        <is>
          <t>ITGC</t>
        </is>
      </c>
      <c r="D19" s="16" t="inlineStr">
        <is>
          <t>All</t>
        </is>
      </c>
      <c r="E19" s="16" t="inlineStr">
        <is>
          <t>Secrets hardcoded/shared/un-rotated → compromise.</t>
        </is>
      </c>
      <c r="F19" s="16" t="inlineStr">
        <is>
          <t>Confidentiality</t>
        </is>
      </c>
      <c r="G19" s="16" t="inlineStr">
        <is>
          <t>Secrets (JWT_SECRET, APP_ENC_KEY, PSP_WEBHOOK_SECRET, DB creds) held in KMS/vault; rotated; no dev fallbacks in prod.</t>
        </is>
      </c>
      <c r="H19" s="17" t="inlineStr">
        <is>
          <t>Prev</t>
        </is>
      </c>
      <c r="I19" s="17" t="inlineStr">
        <is>
          <t>Manual</t>
        </is>
      </c>
      <c r="J19" s="17" t="inlineStr">
        <is>
          <t>Continuous</t>
        </is>
      </c>
      <c r="K19" s="16" t="inlineStr">
        <is>
          <t>DevOps / Security</t>
        </is>
      </c>
      <c r="L19" s="17" t="inlineStr">
        <is>
          <t>P11</t>
        </is>
      </c>
      <c r="M19" s="16" t="inlineStr">
        <is>
          <t>env.validation.ts (fail-closed boot gate); docs/ops/secrets.md</t>
        </is>
      </c>
      <c r="N19" s="16" t="inlineStr">
        <is>
          <t>Inspect secret storage + rotation policy.</t>
        </is>
      </c>
      <c r="O19" s="16" t="inlineStr">
        <is>
          <t>Confirm no plaintext secrets in repo/CI; prod boot blocked without secrets; rotation evidence.</t>
        </is>
      </c>
      <c r="P19" s="16" t="inlineStr">
        <is>
          <t>Vault config + env.validation</t>
        </is>
      </c>
      <c r="Q19" s="18" t="inlineStr">
        <is>
          <t>Implemented</t>
        </is>
      </c>
    </row>
    <row r="20">
      <c r="A20" s="11" t="inlineStr">
        <is>
          <t>ITGC-AC-13</t>
        </is>
      </c>
      <c r="B20" s="12" t="inlineStr">
        <is>
          <t>ITGC · Access</t>
        </is>
      </c>
      <c r="C20" s="13" t="inlineStr">
        <is>
          <t>ITGC</t>
        </is>
      </c>
      <c r="D20" s="12" t="inlineStr">
        <is>
          <t>All</t>
        </is>
      </c>
      <c r="E20" s="12" t="inlineStr">
        <is>
          <t>Direct DB access bypasses app controls; shared DB superuser.</t>
        </is>
      </c>
      <c r="F20" s="12" t="inlineStr">
        <is>
          <t>Restricted access</t>
        </is>
      </c>
      <c r="G20" s="12" t="inlineStr">
        <is>
          <t>Named DB users, least privilege, app uses non-superuser role; DBA access logged &amp; restricted.</t>
        </is>
      </c>
      <c r="H20" s="13" t="inlineStr">
        <is>
          <t>Prev</t>
        </is>
      </c>
      <c r="I20" s="13" t="inlineStr">
        <is>
          <t>Manual</t>
        </is>
      </c>
      <c r="J20" s="13" t="inlineStr">
        <is>
          <t>Continuous</t>
        </is>
      </c>
      <c r="K20" s="12" t="inlineStr">
        <is>
          <t>DBA / DevOps</t>
        </is>
      </c>
      <c r="L20" s="13" t="inlineStr">
        <is>
          <t>P11</t>
        </is>
      </c>
      <c r="M20" s="12" t="inlineStr">
        <is>
          <t>tools/ops/sql/prod-db-roles.sql (non-owner ierp_app login); app_user role</t>
        </is>
      </c>
      <c r="N20" s="12" t="inlineStr">
        <is>
          <t>Inspect DB role grants + access list.</t>
        </is>
      </c>
      <c r="O20" s="12" t="inlineStr">
        <is>
          <t>Sample DB access reviewed; app connects as non-owner least-priv role; no shared superuser in app path.</t>
        </is>
      </c>
      <c r="P20" s="12" t="inlineStr">
        <is>
          <t>DB grants</t>
        </is>
      </c>
      <c r="Q20" s="18" t="inlineStr">
        <is>
          <t>Implemented</t>
        </is>
      </c>
    </row>
    <row r="21">
      <c r="A21" s="15" t="inlineStr">
        <is>
          <t>ITGC-AC-14</t>
        </is>
      </c>
      <c r="B21" s="16" t="inlineStr">
        <is>
          <t>ITGC · Access</t>
        </is>
      </c>
      <c r="C21" s="17" t="inlineStr">
        <is>
          <t>ITGC</t>
        </is>
      </c>
      <c r="D21" s="16" t="inlineStr">
        <is>
          <t>Revenue / Cash; Expenditure</t>
        </is>
      </c>
      <c r="E21" s="16" t="inlineStr">
        <is>
          <t>Financial data changed without a field-level record of WHAT changed (old→new).</t>
        </is>
      </c>
      <c r="F21" s="16" t="inlineStr">
        <is>
          <t>Completeness/Integrity</t>
        </is>
      </c>
      <c r="G21" s="16" t="inlineStr">
        <is>
          <t>Field-level change log — DB triggers capture OLD/NEW row images + changed columns + actor on every INSERT/UPDATE/DELETE of the core financial tables (GL header, AP/AR sub-ledgers, AP payments, tenders); append-only.</t>
        </is>
      </c>
      <c r="H21" s="17" t="inlineStr">
        <is>
          <t>Det</t>
        </is>
      </c>
      <c r="I21" s="17" t="inlineStr">
        <is>
          <t>Automated</t>
        </is>
      </c>
      <c r="J21" s="17" t="inlineStr">
        <is>
          <t>Continuous</t>
        </is>
      </c>
      <c r="K21" s="16" t="inlineStr">
        <is>
          <t>Eng Lead</t>
        </is>
      </c>
      <c r="L21" s="17" t="inlineStr">
        <is>
          <t>P13/P16</t>
        </is>
      </c>
      <c r="M21" s="16" t="inlineStr">
        <is>
          <t>drizzle/0116_field_change_log.sql (log_data_change triggers; data_change_log append-only); tenant-tx.interceptor.ts (app.actor GUC); audit-viewer.service.ts (changes / GET /api/admin/audit/changes); cutover/compliance.ts (ToE)</t>
        </is>
      </c>
      <c r="N21" s="16" t="inlineStr">
        <is>
          <t>Inspect trigger coverage + actor capture; verify append-only trigger.</t>
        </is>
      </c>
      <c r="O21" s="16" t="inlineStr">
        <is>
          <t>Sample a financial update → change log holds old/new + changed columns + actor; UPDATE/DELETE on data_change_log rejected (re-performed by the harness).</t>
        </is>
      </c>
      <c r="P21" s="16" t="inlineStr">
        <is>
          <t>Field change log</t>
        </is>
      </c>
      <c r="Q21" s="18" t="inlineStr">
        <is>
          <t>Implemented</t>
        </is>
      </c>
    </row>
    <row r="22">
      <c r="A22" s="11" t="inlineStr">
        <is>
          <t>ITGC-AC-15</t>
        </is>
      </c>
      <c r="B22" s="12" t="inlineStr">
        <is>
          <t>ITGC · Access</t>
        </is>
      </c>
      <c r="C22" s="13" t="inlineStr">
        <is>
          <t>ITGC</t>
        </is>
      </c>
      <c r="D22" s="12" t="inlineStr">
        <is>
          <t>All</t>
        </is>
      </c>
      <c r="E22" s="12" t="inlineStr">
        <is>
          <t>A compromised or shared session cannot be terminated — a stolen/forwarded JWT stays valid for its full lifetime, and a deactivated user's existing token keeps working, so there is no incident-containment kill-switch.</t>
        </is>
      </c>
      <c r="F22" s="12" t="inlineStr">
        <is>
          <t>Restricted access</t>
        </is>
      </c>
      <c r="G22" s="12" t="inlineStr">
        <is>
          <t>Session revocation: JWTs carry a jti so a session can be killed before expiry. Logout adds the token's jti to a denylist (revoked_tokens) which the global auth guard checks every request; an admin can revoke ALL of a user's sessions (users.tokens_valid_from watermark — any JWT issued before it is rejected) for incident response; and account DEACTIVATION is enforced live (the guard re-checks is_active each request, so a disabled account's token stops working immediately rather than lasting up to 8h). (Brute-force login lockout is a tracked follow-on.)</t>
        </is>
      </c>
      <c r="H22" s="13" t="inlineStr">
        <is>
          <t>Prev</t>
        </is>
      </c>
      <c r="I22" s="13" t="inlineStr">
        <is>
          <t>Automated</t>
        </is>
      </c>
      <c r="J22" s="13" t="inlineStr">
        <is>
          <t>Continuous</t>
        </is>
      </c>
      <c r="K22" s="12" t="inlineStr">
        <is>
          <t>Eng Lead / Security</t>
        </is>
      </c>
      <c r="L22" s="13" t="inlineStr">
        <is>
          <t>P11</t>
        </is>
      </c>
      <c r="M22" s="12" t="inlineStr">
        <is>
          <t>auth.service.ts revokeToken/revokeAllSessions (+ jti on issued JWTs); auth.controller.ts (auth/logout revokes jti, auth/users/:username/revoke-sessions); common/guards.ts (jti-denylist + is_active + tokens_valid_from checks); schema/users.ts revoked_tokens + users.tokens_valid_from + migration 0144; cutover/compliance.ts (ToE)</t>
        </is>
      </c>
      <c r="N22" s="12" t="inlineStr">
        <is>
          <t>Inspect the jti-denylist + revoke-all watermark + the guard's per-request revocation/deactivation checks.</t>
        </is>
      </c>
      <c r="O22" s="12" t="inlineStr">
        <is>
          <t>Re-perform: log in, logout → the token is rejected (TOKEN_REVOKED); deactivate an account → its existing token is rejected (USER_DEACTIVATED); revoke-all → pre-existing tokens rejected (re-performed by the harness).</t>
        </is>
      </c>
      <c r="P22" s="12" t="inlineStr">
        <is>
          <t>Revocation denylist + SoD/deactivation test</t>
        </is>
      </c>
      <c r="Q22" s="18" t="inlineStr">
        <is>
          <t>Implemented</t>
        </is>
      </c>
    </row>
    <row r="23">
      <c r="A23" s="15" t="inlineStr">
        <is>
          <t>ITGC-AC-16</t>
        </is>
      </c>
      <c r="B23" s="16" t="inlineStr">
        <is>
          <t>ITGC · Access</t>
        </is>
      </c>
      <c r="C23" s="17" t="inlineStr">
        <is>
          <t>ITGC</t>
        </is>
      </c>
      <c r="D23" s="16" t="inlineStr">
        <is>
          <t>All</t>
        </is>
      </c>
      <c r="E23" s="16" t="inlineStr">
        <is>
          <t>The primary financial audit trail is append-only but not tamper-EVIDENT — immutability is enforced only by a DB trigger it shares a trust boundary with, so a superuser (or out-of-band DB access) bypassing the trigger could alter/delete history undetectably.</t>
        </is>
      </c>
      <c r="F23" s="16" t="inlineStr">
        <is>
          <t>Completeness/Integrity</t>
        </is>
      </c>
      <c r="G23" s="16" t="inlineStr">
        <is>
          <t>Audit hash chain (tamper-evidence): every audit_log row carries a per-(tenant) monotonic seq + prev_hash + hash, each hash binding the previous hash + the row's content (actor/tenant/action/ip/request_id/status/meta) — exactly the pos_journal (ITGC-AC-11) construction. The append is serialised by a FOR UPDATE lock on the latest row so concurrent writes can't fork the chain. Re-walking the chain (GET /api/admin/audit/verify, gated by 'users', RLS-scoped) recomputes every hash and reports the first row where the sequence gaps or a hash mismatches — so ANY edit/delete/insert of a past row (even one that bypassed the append-only trigger) is DETECTED. Complements ITGC-AC-10 (immutability) with detectability.</t>
        </is>
      </c>
      <c r="H23" s="17" t="inlineStr">
        <is>
          <t>Det</t>
        </is>
      </c>
      <c r="I23" s="17" t="inlineStr">
        <is>
          <t>Automated</t>
        </is>
      </c>
      <c r="J23" s="17" t="inlineStr">
        <is>
          <t>Continuous / on verify</t>
        </is>
      </c>
      <c r="K23" s="16" t="inlineStr">
        <is>
          <t>Eng Lead / Security</t>
        </is>
      </c>
      <c r="L23" s="17" t="inlineStr">
        <is>
          <t>P13/P16</t>
        </is>
      </c>
      <c r="M23" s="16" t="inlineStr">
        <is>
          <t>common/audit.interceptor.ts (auditRowHash + per-tenant FOR UPDATE chain append); audit-viewer.service.ts verifyChain + audit-viewer.controller.ts (GET /api/admin/audit/verify); schema/system.ts audit_log.seq/prev_hash/hash + migration 0148; cutover/compliance.ts (ToE)</t>
        </is>
      </c>
      <c r="N23" s="16" t="inlineStr">
        <is>
          <t>Inspect the chain construction (seq + prev_hash + content hash, FOR UPDATE serialisation) + the verify walk.</t>
        </is>
      </c>
      <c r="O23" s="16" t="inlineStr">
        <is>
          <t>Re-perform: verify returns ok over the accumulated chain; then alter a past row behind a DISABLEd append-only trigger and re-verify → ok=false with a hash mismatch at the tampered seq (re-performed by the harness).</t>
        </is>
      </c>
      <c r="P23" s="16" t="inlineStr">
        <is>
          <t>Chain verify (intact + tamper-detected) test</t>
        </is>
      </c>
      <c r="Q23" s="18" t="inlineStr">
        <is>
          <t>Implemented</t>
        </is>
      </c>
    </row>
    <row r="24">
      <c r="A24" s="11" t="inlineStr">
        <is>
          <t>ITGC-CM-01</t>
        </is>
      </c>
      <c r="B24" s="12" t="inlineStr">
        <is>
          <t>ITGC · Change</t>
        </is>
      </c>
      <c r="C24" s="13" t="inlineStr">
        <is>
          <t>ITGC</t>
        </is>
      </c>
      <c r="D24" s="12" t="inlineStr">
        <is>
          <t>All</t>
        </is>
      </c>
      <c r="E24" s="12" t="inlineStr">
        <is>
          <t>Unauthorized/untested code reaches production.</t>
        </is>
      </c>
      <c r="F24" s="12" t="inlineStr">
        <is>
          <t>—</t>
        </is>
      </c>
      <c r="G24" s="12" t="inlineStr">
        <is>
          <t>All code changes via peer-reviewed PR; branch protection on main; no self-merge; CI must pass before merge.</t>
        </is>
      </c>
      <c r="H24" s="13" t="inlineStr">
        <is>
          <t>Prev</t>
        </is>
      </c>
      <c r="I24" s="13" t="inlineStr">
        <is>
          <t>Auto+Manual</t>
        </is>
      </c>
      <c r="J24" s="13" t="inlineStr">
        <is>
          <t>Per change</t>
        </is>
      </c>
      <c r="K24" s="12" t="inlineStr">
        <is>
          <t>Head of Eng</t>
        </is>
      </c>
      <c r="L24" s="13" t="inlineStr">
        <is>
          <t>P11</t>
        </is>
      </c>
      <c r="M24" s="12" t="inlineStr">
        <is>
          <t>.github/rulesets/main-branch-protection.json; .github/CODEOWNERS</t>
        </is>
      </c>
      <c r="N24" s="12" t="inlineStr">
        <is>
          <t>Inspect branch protection + required-review settings.</t>
        </is>
      </c>
      <c r="O24" s="12" t="inlineStr">
        <is>
          <t>Sample merges: independent + code-owner approval + green CI; no force-push.</t>
        </is>
      </c>
      <c r="P24" s="12" t="inlineStr">
        <is>
          <t>PR approvals</t>
        </is>
      </c>
      <c r="Q24" s="18" t="inlineStr">
        <is>
          <t>Implemented</t>
        </is>
      </c>
    </row>
    <row r="25">
      <c r="A25" s="15" t="inlineStr">
        <is>
          <t>ITGC-CM-02</t>
        </is>
      </c>
      <c r="B25" s="16" t="inlineStr">
        <is>
          <t>ITGC · Change</t>
        </is>
      </c>
      <c r="C25" s="17" t="inlineStr">
        <is>
          <t>ITGC</t>
        </is>
      </c>
      <c r="D25" s="16" t="inlineStr">
        <is>
          <t>All</t>
        </is>
      </c>
      <c r="E25" s="16" t="inlineStr">
        <is>
          <t>Ad-hoc prod schema change corrupts data.</t>
        </is>
      </c>
      <c r="F25" s="16" t="inlineStr">
        <is>
          <t>—</t>
        </is>
      </c>
      <c r="G25" s="16" t="inlineStr">
        <is>
          <t>Schema changes only via reviewed Drizzle migrations; no direct prod DDL; migration journal maintained.</t>
        </is>
      </c>
      <c r="H25" s="17" t="inlineStr">
        <is>
          <t>Prev</t>
        </is>
      </c>
      <c r="I25" s="17" t="inlineStr">
        <is>
          <t>Auto+Manual</t>
        </is>
      </c>
      <c r="J25" s="17" t="inlineStr">
        <is>
          <t>Per change</t>
        </is>
      </c>
      <c r="K25" s="16" t="inlineStr">
        <is>
          <t>Head of Eng / DBA</t>
        </is>
      </c>
      <c r="L25" s="17" t="inlineStr">
        <is>
          <t>P11</t>
        </is>
      </c>
      <c r="M25" s="16" t="inlineStr">
        <is>
          <t>apps/api/drizzle/*; meta/_journal.json; CODEOWNERS on drizzle/</t>
        </is>
      </c>
      <c r="N25" s="16" t="inlineStr">
        <is>
          <t>Inspect migration process + journal.</t>
        </is>
      </c>
      <c r="O25" s="16" t="inlineStr">
        <is>
          <t>Sample migrations: code-owner reviewed + applied via pipeline only.</t>
        </is>
      </c>
      <c r="P25" s="16" t="inlineStr">
        <is>
          <t>Migration log</t>
        </is>
      </c>
      <c r="Q25" s="18" t="inlineStr">
        <is>
          <t>Implemented</t>
        </is>
      </c>
    </row>
    <row r="26">
      <c r="A26" s="11" t="inlineStr">
        <is>
          <t>ITGC-CM-03</t>
        </is>
      </c>
      <c r="B26" s="12" t="inlineStr">
        <is>
          <t>ITGC · Change</t>
        </is>
      </c>
      <c r="C26" s="13" t="inlineStr">
        <is>
          <t>ITGC</t>
        </is>
      </c>
      <c r="D26" s="12" t="inlineStr">
        <is>
          <t>All</t>
        </is>
      </c>
      <c r="E26" s="12" t="inlineStr">
        <is>
          <t>Developer self-deploys unreviewed change to prod.</t>
        </is>
      </c>
      <c r="F26" s="12" t="inlineStr">
        <is>
          <t>—</t>
        </is>
      </c>
      <c r="G26" s="12" t="inlineStr">
        <is>
          <t>Segregation: developer ≠ prod deployer; production deploy requires separate approval.</t>
        </is>
      </c>
      <c r="H26" s="13" t="inlineStr">
        <is>
          <t>Prev</t>
        </is>
      </c>
      <c r="I26" s="13" t="inlineStr">
        <is>
          <t>Manual</t>
        </is>
      </c>
      <c r="J26" s="13" t="inlineStr">
        <is>
          <t>Per change</t>
        </is>
      </c>
      <c r="K26" s="12" t="inlineStr">
        <is>
          <t>Head of Eng</t>
        </is>
      </c>
      <c r="L26" s="13" t="inlineStr">
        <is>
          <t>P11</t>
        </is>
      </c>
      <c r="M26" s="12" t="inlineStr">
        <is>
          <t>.github/workflows/deploy.yml (production environment required reviewers)</t>
        </is>
      </c>
      <c r="N26" s="12" t="inlineStr">
        <is>
          <t>Inspect deploy approval gate + role separation.</t>
        </is>
      </c>
      <c r="O26" s="12" t="inlineStr">
        <is>
          <t>Sample deploys: approver ≠ author.</t>
        </is>
      </c>
      <c r="P26" s="12" t="inlineStr">
        <is>
          <t>Deploy approvals</t>
        </is>
      </c>
      <c r="Q26" s="18" t="inlineStr">
        <is>
          <t>Implemented</t>
        </is>
      </c>
    </row>
    <row r="27">
      <c r="A27" s="15" t="inlineStr">
        <is>
          <t>ITGC-CM-04</t>
        </is>
      </c>
      <c r="B27" s="16" t="inlineStr">
        <is>
          <t>ITGC · Change</t>
        </is>
      </c>
      <c r="C27" s="17" t="inlineStr">
        <is>
          <t>ITGC</t>
        </is>
      </c>
      <c r="D27" s="16" t="inlineStr">
        <is>
          <t>All</t>
        </is>
      </c>
      <c r="E27" s="16" t="inlineStr">
        <is>
          <t>Changes not traceable to an authorized request.</t>
        </is>
      </c>
      <c r="F27" s="16" t="inlineStr">
        <is>
          <t>—</t>
        </is>
      </c>
      <c r="G27" s="16" t="inlineStr">
        <is>
          <t>Change traceability: ticket → PR → test → deploy linkage retained for every change.</t>
        </is>
      </c>
      <c r="H27" s="17" t="inlineStr">
        <is>
          <t>Det</t>
        </is>
      </c>
      <c r="I27" s="17" t="inlineStr">
        <is>
          <t>Manual</t>
        </is>
      </c>
      <c r="J27" s="17" t="inlineStr">
        <is>
          <t>Per change</t>
        </is>
      </c>
      <c r="K27" s="16" t="inlineStr">
        <is>
          <t>Head of Eng</t>
        </is>
      </c>
      <c r="L27" s="17" t="inlineStr">
        <is>
          <t>P11</t>
        </is>
      </c>
      <c r="M27" s="16" t="inlineStr">
        <is>
          <t>.github/pull_request_template.md (required linked ticket)</t>
        </is>
      </c>
      <c r="N27" s="16" t="inlineStr">
        <is>
          <t>Inspect linkage convention.</t>
        </is>
      </c>
      <c r="O27" s="16" t="inlineStr">
        <is>
          <t>Sample changes traced ticket→PR→deploy.</t>
        </is>
      </c>
      <c r="P27" s="16" t="inlineStr">
        <is>
          <t>Traceability</t>
        </is>
      </c>
      <c r="Q27" s="18" t="inlineStr">
        <is>
          <t>Implemented</t>
        </is>
      </c>
    </row>
    <row r="28">
      <c r="A28" s="11" t="inlineStr">
        <is>
          <t>ITGC-CM-05</t>
        </is>
      </c>
      <c r="B28" s="12" t="inlineStr">
        <is>
          <t>ITGC · Change</t>
        </is>
      </c>
      <c r="C28" s="13" t="inlineStr">
        <is>
          <t>ITGC</t>
        </is>
      </c>
      <c r="D28" s="12" t="inlineStr">
        <is>
          <t>All</t>
        </is>
      </c>
      <c r="E28" s="12" t="inlineStr">
        <is>
          <t>Emergency fixes bypass controls permanently.</t>
        </is>
      </c>
      <c r="F28" s="12" t="inlineStr">
        <is>
          <t>—</t>
        </is>
      </c>
      <c r="G28" s="12" t="inlineStr">
        <is>
          <t>Emergency-change procedure with retroactive review/approval within defined SLA.</t>
        </is>
      </c>
      <c r="H28" s="13" t="inlineStr">
        <is>
          <t>Prev</t>
        </is>
      </c>
      <c r="I28" s="13" t="inlineStr">
        <is>
          <t>Manual</t>
        </is>
      </c>
      <c r="J28" s="13" t="inlineStr">
        <is>
          <t>As needed</t>
        </is>
      </c>
      <c r="K28" s="12" t="inlineStr">
        <is>
          <t>Head of Eng</t>
        </is>
      </c>
      <c r="L28" s="13" t="inlineStr">
        <is>
          <t>P11</t>
        </is>
      </c>
      <c r="M28" s="12" t="inlineStr">
        <is>
          <t>docs/ops/change-management.md (emergency-change procedure)</t>
        </is>
      </c>
      <c r="N28" s="12" t="inlineStr">
        <is>
          <t>Inspect emergency procedure.</t>
        </is>
      </c>
      <c r="O28" s="12" t="inlineStr">
        <is>
          <t>Sample emergency changes had expedited review + 1-day retro.</t>
        </is>
      </c>
      <c r="P28" s="12" t="inlineStr">
        <is>
          <t>Emergency log</t>
        </is>
      </c>
      <c r="Q28" s="18" t="inlineStr">
        <is>
          <t>Implemented</t>
        </is>
      </c>
    </row>
    <row r="29">
      <c r="A29" s="15" t="inlineStr">
        <is>
          <t>ITGC-SD-01</t>
        </is>
      </c>
      <c r="B29" s="16" t="inlineStr">
        <is>
          <t>ITGC · SDLC</t>
        </is>
      </c>
      <c r="C29" s="17" t="inlineStr">
        <is>
          <t>ITGC</t>
        </is>
      </c>
      <c r="D29" s="16" t="inlineStr">
        <is>
          <t>All</t>
        </is>
      </c>
      <c r="E29" s="16" t="inlineStr">
        <is>
          <t>New functionality goes live without design/test sign-off.</t>
        </is>
      </c>
      <c r="F29" s="16" t="inlineStr">
        <is>
          <t>—</t>
        </is>
      </c>
      <c r="G29" s="16" t="inlineStr">
        <is>
          <t>SDLC policy: requirements, design, test and UAT sign-off prior to go-live.</t>
        </is>
      </c>
      <c r="H29" s="17" t="inlineStr">
        <is>
          <t>Prev</t>
        </is>
      </c>
      <c r="I29" s="17" t="inlineStr">
        <is>
          <t>Manual</t>
        </is>
      </c>
      <c r="J29" s="17" t="inlineStr">
        <is>
          <t>Per project</t>
        </is>
      </c>
      <c r="K29" s="16" t="inlineStr">
        <is>
          <t>Head of Eng / Product</t>
        </is>
      </c>
      <c r="L29" s="17" t="inlineStr">
        <is>
          <t>P11</t>
        </is>
      </c>
      <c r="M29" s="16" t="inlineStr">
        <is>
          <t>SDLC policy (to author)</t>
        </is>
      </c>
      <c r="N29" s="16" t="inlineStr">
        <is>
          <t>Inspect SDLC policy + a project's artefacts.</t>
        </is>
      </c>
      <c r="O29" s="16" t="inlineStr">
        <is>
          <t>Sample releases: UAT + go-live sign-off present.</t>
        </is>
      </c>
      <c r="P29" s="16" t="inlineStr">
        <is>
          <t>SDLC artefacts</t>
        </is>
      </c>
      <c r="Q29" s="14" t="inlineStr">
        <is>
          <t>Gap</t>
        </is>
      </c>
    </row>
    <row r="30">
      <c r="A30" s="11" t="inlineStr">
        <is>
          <t>ITGC-SD-02</t>
        </is>
      </c>
      <c r="B30" s="12" t="inlineStr">
        <is>
          <t>ITGC · SDLC</t>
        </is>
      </c>
      <c r="C30" s="13" t="inlineStr">
        <is>
          <t>ITGC</t>
        </is>
      </c>
      <c r="D30" s="12" t="inlineStr">
        <is>
          <t>All</t>
        </is>
      </c>
      <c r="E30" s="12" t="inlineStr">
        <is>
          <t>Migrated opening balances incomplete/inaccurate.</t>
        </is>
      </c>
      <c r="F30" s="12" t="inlineStr">
        <is>
          <t>Completeness/Accuracy</t>
        </is>
      </c>
      <c r="G30" s="12" t="inlineStr">
        <is>
          <t>Cutover data-migration controls: source→target balance reconciliation + sign-off; opening balances idempotent.</t>
        </is>
      </c>
      <c r="H30" s="13" t="inlineStr">
        <is>
          <t>Prev/Det</t>
        </is>
      </c>
      <c r="I30" s="13" t="inlineStr">
        <is>
          <t>Auto+Manual</t>
        </is>
      </c>
      <c r="J30" s="13" t="inlineStr">
        <is>
          <t>At cutover</t>
        </is>
      </c>
      <c r="K30" s="12" t="inlineStr">
        <is>
          <t>Controller / Eng</t>
        </is>
      </c>
      <c r="L30" s="13" t="inlineStr">
        <is>
          <t>P11/P13</t>
        </is>
      </c>
      <c r="M30" s="12" t="inlineStr">
        <is>
          <t>tools/etl; tools/cutover; ledger opening-balances (idempotent on batch_ref)</t>
        </is>
      </c>
      <c r="N30" s="12" t="inlineStr">
        <is>
          <t>Inspect migration reconciliation + sign-off.</t>
        </is>
      </c>
      <c r="O30" s="12" t="inlineStr">
        <is>
          <t>Re-perform migrated trial-balance tie-out.</t>
        </is>
      </c>
      <c r="P30" s="12" t="inlineStr">
        <is>
          <t>Migration recon</t>
        </is>
      </c>
      <c r="Q30" s="19" t="inlineStr">
        <is>
          <t>Partial</t>
        </is>
      </c>
    </row>
    <row r="31">
      <c r="A31" s="15" t="inlineStr">
        <is>
          <t>ITGC-SD-03</t>
        </is>
      </c>
      <c r="B31" s="16" t="inlineStr">
        <is>
          <t>ITGC · SDLC</t>
        </is>
      </c>
      <c r="C31" s="17" t="inlineStr">
        <is>
          <t>ITGC</t>
        </is>
      </c>
      <c r="D31" s="16" t="inlineStr">
        <is>
          <t>All</t>
        </is>
      </c>
      <c r="E31" s="16" t="inlineStr">
        <is>
          <t>Control logic regresses unnoticed.</t>
        </is>
      </c>
      <c r="F31" s="16" t="inlineStr">
        <is>
          <t>—</t>
        </is>
      </c>
      <c r="G31" s="16" t="inlineStr">
        <is>
          <t>Automated test suite is control evidence; CI archives dated results; key-control assertions covered.</t>
        </is>
      </c>
      <c r="H31" s="17" t="inlineStr">
        <is>
          <t>Det</t>
        </is>
      </c>
      <c r="I31" s="17" t="inlineStr">
        <is>
          <t>Automated</t>
        </is>
      </c>
      <c r="J31" s="17" t="inlineStr">
        <is>
          <t>Per change</t>
        </is>
      </c>
      <c r="K31" s="16" t="inlineStr">
        <is>
          <t>Head of Eng</t>
        </is>
      </c>
      <c r="L31" s="17" t="inlineStr">
        <is>
          <t>P11/P16</t>
        </is>
      </c>
      <c r="M31" s="16" t="inlineStr">
        <is>
          <t>apps/api/test/unit.test.ts; vitest</t>
        </is>
      </c>
      <c r="N31" s="16" t="inlineStr">
        <is>
          <t>Inspect tests map to key controls.</t>
        </is>
      </c>
      <c r="O31" s="16" t="inlineStr">
        <is>
          <t>Review archived CI runs over period; all green.</t>
        </is>
      </c>
      <c r="P31" s="16" t="inlineStr">
        <is>
          <t>CI reports</t>
        </is>
      </c>
      <c r="Q31" s="19" t="inlineStr">
        <is>
          <t>Partial</t>
        </is>
      </c>
    </row>
    <row r="32">
      <c r="A32" s="11" t="inlineStr">
        <is>
          <t>ITGC-OP-01</t>
        </is>
      </c>
      <c r="B32" s="12" t="inlineStr">
        <is>
          <t>ITGC · Operations</t>
        </is>
      </c>
      <c r="C32" s="13" t="inlineStr">
        <is>
          <t>ITGC</t>
        </is>
      </c>
      <c r="D32" s="12" t="inlineStr">
        <is>
          <t>All</t>
        </is>
      </c>
      <c r="E32" s="12" t="inlineStr">
        <is>
          <t>Data loss with no recovery.</t>
        </is>
      </c>
      <c r="F32" s="12" t="inlineStr">
        <is>
          <t>—</t>
        </is>
      </c>
      <c r="G32" s="12" t="inlineStr">
        <is>
          <t>Automated DB backups + a TESTED quarterly restore (recovery proven, not just scheduled).</t>
        </is>
      </c>
      <c r="H32" s="13" t="inlineStr">
        <is>
          <t>Prev</t>
        </is>
      </c>
      <c r="I32" s="13" t="inlineStr">
        <is>
          <t>Auto+Manual</t>
        </is>
      </c>
      <c r="J32" s="13" t="inlineStr">
        <is>
          <t>Daily / Qtrly test</t>
        </is>
      </c>
      <c r="K32" s="12" t="inlineStr">
        <is>
          <t>DevOps</t>
        </is>
      </c>
      <c r="L32" s="13" t="inlineStr">
        <is>
          <t>P11</t>
        </is>
      </c>
      <c r="M32" s="12" t="inlineStr">
        <is>
          <t>tools/ops/pg-backup.sh, restore.sh, verify-restore.sh; BACKUP-RUNBOOK.md</t>
        </is>
      </c>
      <c r="N32" s="12" t="inlineStr">
        <is>
          <t>Inspect backup schedule + scripted restore-drill procedure.</t>
        </is>
      </c>
      <c r="O32" s="12" t="inlineStr">
        <is>
          <t>Inspect a successful restore-drill record each quarter.</t>
        </is>
      </c>
      <c r="P32" s="12" t="inlineStr">
        <is>
          <t>Restore test</t>
        </is>
      </c>
      <c r="Q32" s="18" t="inlineStr">
        <is>
          <t>Implemented</t>
        </is>
      </c>
    </row>
    <row r="33">
      <c r="A33" s="15" t="inlineStr">
        <is>
          <t>ITGC-OP-02</t>
        </is>
      </c>
      <c r="B33" s="16" t="inlineStr">
        <is>
          <t>ITGC · Operations</t>
        </is>
      </c>
      <c r="C33" s="17" t="inlineStr">
        <is>
          <t>ITGC</t>
        </is>
      </c>
      <c r="D33" s="16" t="inlineStr">
        <is>
          <t>All</t>
        </is>
      </c>
      <c r="E33" s="16" t="inlineStr">
        <is>
          <t>Prolonged outage; no continuity plan.</t>
        </is>
      </c>
      <c r="F33" s="16" t="inlineStr">
        <is>
          <t>—</t>
        </is>
      </c>
      <c r="G33" s="16" t="inlineStr">
        <is>
          <t>DR / BCP plan with defined RTO/RPO and periodic test.</t>
        </is>
      </c>
      <c r="H33" s="17" t="inlineStr">
        <is>
          <t>Prev</t>
        </is>
      </c>
      <c r="I33" s="17" t="inlineStr">
        <is>
          <t>Manual</t>
        </is>
      </c>
      <c r="J33" s="17" t="inlineStr">
        <is>
          <t>Annual test</t>
        </is>
      </c>
      <c r="K33" s="16" t="inlineStr">
        <is>
          <t>CTO / DevOps</t>
        </is>
      </c>
      <c r="L33" s="17" t="inlineStr">
        <is>
          <t>P11</t>
        </is>
      </c>
      <c r="M33" s="16" t="inlineStr">
        <is>
          <t>RTO/RPO in tools/ops/BACKUP-RUNBOOK.md; full DR/BCP to author</t>
        </is>
      </c>
      <c r="N33" s="16" t="inlineStr">
        <is>
          <t>Inspect DR plan + RTO/RPO.</t>
        </is>
      </c>
      <c r="O33" s="16" t="inlineStr">
        <is>
          <t>Inspect DR test results.</t>
        </is>
      </c>
      <c r="P33" s="16" t="inlineStr">
        <is>
          <t>DR test</t>
        </is>
      </c>
      <c r="Q33" s="19" t="inlineStr">
        <is>
          <t>Partial</t>
        </is>
      </c>
    </row>
    <row r="34">
      <c r="A34" s="11" t="inlineStr">
        <is>
          <t>ITGC-OP-03</t>
        </is>
      </c>
      <c r="B34" s="12" t="inlineStr">
        <is>
          <t>ITGC · Operations</t>
        </is>
      </c>
      <c r="C34" s="13" t="inlineStr">
        <is>
          <t>ITGC</t>
        </is>
      </c>
      <c r="D34" s="12" t="inlineStr">
        <is>
          <t>All</t>
        </is>
      </c>
      <c r="E34" s="12" t="inlineStr">
        <is>
          <t>Failures/incidents undetected.</t>
        </is>
      </c>
      <c r="F34" s="12" t="inlineStr">
        <is>
          <t>—</t>
        </is>
      </c>
      <c r="G34" s="12" t="inlineStr">
        <is>
          <t>Monitoring + alerting (APM/errors) with on-call and an incident-management log.</t>
        </is>
      </c>
      <c r="H34" s="13" t="inlineStr">
        <is>
          <t>Det</t>
        </is>
      </c>
      <c r="I34" s="13" t="inlineStr">
        <is>
          <t>Automated</t>
        </is>
      </c>
      <c r="J34" s="13" t="inlineStr">
        <is>
          <t>Continuous</t>
        </is>
      </c>
      <c r="K34" s="12" t="inlineStr">
        <is>
          <t>DevOps</t>
        </is>
      </c>
      <c r="L34" s="13" t="inlineStr">
        <is>
          <t>P11/P16</t>
        </is>
      </c>
      <c r="M34" s="12" t="inlineStr">
        <is>
          <t>observability/instrumentation.ts (OTel); Sentry; docs/ops/observability-incident.md; /healthz+/readyz probes</t>
        </is>
      </c>
      <c r="N34" s="12" t="inlineStr">
        <is>
          <t>Inspect alerting config + incident process.</t>
        </is>
      </c>
      <c r="O34" s="12" t="inlineStr">
        <is>
          <t>Sample alerts → incident tickets resolved.</t>
        </is>
      </c>
      <c r="P34" s="12" t="inlineStr">
        <is>
          <t>Incident log</t>
        </is>
      </c>
      <c r="Q34" s="18" t="inlineStr">
        <is>
          <t>Implemented</t>
        </is>
      </c>
    </row>
    <row r="35">
      <c r="A35" s="15" t="inlineStr">
        <is>
          <t>ITGC-OP-04</t>
        </is>
      </c>
      <c r="B35" s="16" t="inlineStr">
        <is>
          <t>ITGC · Operations</t>
        </is>
      </c>
      <c r="C35" s="17" t="inlineStr">
        <is>
          <t>ITGC</t>
        </is>
      </c>
      <c r="D35" s="16" t="inlineStr">
        <is>
          <t>Revenue / GL</t>
        </is>
      </c>
      <c r="E35" s="16" t="inlineStr">
        <is>
          <t>Scheduled financial jobs fail silently (missed billing/postings).</t>
        </is>
      </c>
      <c r="F35" s="16" t="inlineStr">
        <is>
          <t>Completeness</t>
        </is>
      </c>
      <c r="G35" s="16" t="inlineStr">
        <is>
          <t>Batch-job monitoring (recurring billing, FX revaluation, subscriptions) with failure alerting + review.</t>
        </is>
      </c>
      <c r="H35" s="17" t="inlineStr">
        <is>
          <t>Det</t>
        </is>
      </c>
      <c r="I35" s="17" t="inlineStr">
        <is>
          <t>Automated</t>
        </is>
      </c>
      <c r="J35" s="17" t="inlineStr">
        <is>
          <t>Per run</t>
        </is>
      </c>
      <c r="K35" s="16" t="inlineStr">
        <is>
          <t>DevOps / Controller</t>
        </is>
      </c>
      <c r="L35" s="17" t="inlineStr">
        <is>
          <t>P11</t>
        </is>
      </c>
      <c r="M35" s="16" t="inlineStr">
        <is>
          <t>billing; fx; service modules; alert spec in docs/ops/observability-incident.md</t>
        </is>
      </c>
      <c r="N35" s="16" t="inlineStr">
        <is>
          <t>Inspect job inventory + alerting.</t>
        </is>
      </c>
      <c r="O35" s="16" t="inlineStr">
        <is>
          <t>Sample runs: success logged; failures investigated.</t>
        </is>
      </c>
      <c r="P35" s="16" t="inlineStr">
        <is>
          <t>Job logs</t>
        </is>
      </c>
      <c r="Q35" s="19" t="inlineStr">
        <is>
          <t>Partial</t>
        </is>
      </c>
    </row>
    <row r="36">
      <c r="A36" s="11" t="inlineStr">
        <is>
          <t>REV-01</t>
        </is>
      </c>
      <c r="B36" s="12" t="inlineStr">
        <is>
          <t>Revenue &amp; Cash</t>
        </is>
      </c>
      <c r="C36" s="13" t="inlineStr">
        <is>
          <t>Application</t>
        </is>
      </c>
      <c r="D36" s="12" t="inlineStr">
        <is>
          <t>Revenue; Cash</t>
        </is>
      </c>
      <c r="E36" s="12" t="inlineStr">
        <is>
          <t>Invalid/garbage data posted (negatives, wrong types).</t>
        </is>
      </c>
      <c r="F36" s="12" t="inlineStr">
        <is>
          <t>Accuracy/Validity</t>
        </is>
      </c>
      <c r="G36" s="12" t="inlineStr">
        <is>
          <t>Zod schema validation on all sales/tender inputs (qty&gt;0, price&gt;=0, amount&gt;0); standard error envelope.</t>
        </is>
      </c>
      <c r="H36" s="13" t="inlineStr">
        <is>
          <t>Prev</t>
        </is>
      </c>
      <c r="I36" s="13" t="inlineStr">
        <is>
          <t>Automated</t>
        </is>
      </c>
      <c r="J36" s="13" t="inlineStr">
        <is>
          <t>Per txn</t>
        </is>
      </c>
      <c r="K36" s="12" t="inlineStr">
        <is>
          <t>Eng Lead</t>
        </is>
      </c>
      <c r="L36" s="13" t="inlineStr">
        <is>
          <t>P10</t>
        </is>
      </c>
      <c r="M36" s="12" t="inlineStr">
        <is>
          <t>pos.controller.ts; payments.controller.ts; common/zod-validation.pipe.ts</t>
        </is>
      </c>
      <c r="N36" s="12" t="inlineStr">
        <is>
          <t>Inspect schemas; submit invalid payload → 400.</t>
        </is>
      </c>
      <c r="O36" s="12" t="inlineStr">
        <is>
          <t>Re-perform invalid-input sample → rejected.</t>
        </is>
      </c>
      <c r="P36" s="12" t="inlineStr">
        <is>
          <t>Validation tests</t>
        </is>
      </c>
      <c r="Q36" s="18" t="inlineStr">
        <is>
          <t>Implemented</t>
        </is>
      </c>
    </row>
    <row r="37">
      <c r="A37" s="15" t="inlineStr">
        <is>
          <t>REV-02</t>
        </is>
      </c>
      <c r="B37" s="16" t="inlineStr">
        <is>
          <t>Revenue &amp; Cash</t>
        </is>
      </c>
      <c r="C37" s="17" t="inlineStr">
        <is>
          <t>Application</t>
        </is>
      </c>
      <c r="D37" s="16" t="inlineStr">
        <is>
          <t>Cash</t>
        </is>
      </c>
      <c r="E37" s="16" t="inlineStr">
        <is>
          <t>Retried/double-submitted tender charges customer twice.</t>
        </is>
      </c>
      <c r="F37" s="16" t="inlineStr">
        <is>
          <t>Occurrence/Completeness</t>
        </is>
      </c>
      <c r="G37" s="16" t="inlineStr">
        <is>
          <t>Payment idempotency — same idempotency_key returns the original tender; unique index backstops the race.</t>
        </is>
      </c>
      <c r="H37" s="17" t="inlineStr">
        <is>
          <t>Prev</t>
        </is>
      </c>
      <c r="I37" s="17" t="inlineStr">
        <is>
          <t>Automated</t>
        </is>
      </c>
      <c r="J37" s="17" t="inlineStr">
        <is>
          <t>Per txn</t>
        </is>
      </c>
      <c r="K37" s="16" t="inlineStr">
        <is>
          <t>Eng Lead</t>
        </is>
      </c>
      <c r="L37" s="17" t="inlineStr">
        <is>
          <t>P10</t>
        </is>
      </c>
      <c r="M37" s="16" t="inlineStr">
        <is>
          <t>payments.service.ts (recordTender); schema/payments.ts (ux_payments_idem); migration 0057</t>
        </is>
      </c>
      <c r="N37" s="16" t="inlineStr">
        <is>
          <t>Inspect key handling + unique index.</t>
        </is>
      </c>
      <c r="O37" s="16" t="inlineStr">
        <is>
          <t>Re-submit same key → single charge; concurrent test.</t>
        </is>
      </c>
      <c r="P37" s="16" t="inlineStr">
        <is>
          <t>Idempotency test</t>
        </is>
      </c>
      <c r="Q37" s="18" t="inlineStr">
        <is>
          <t>Implemented</t>
        </is>
      </c>
    </row>
    <row r="38">
      <c r="A38" s="11" t="inlineStr">
        <is>
          <t>REV-03</t>
        </is>
      </c>
      <c r="B38" s="12" t="inlineStr">
        <is>
          <t>Revenue &amp; Cash</t>
        </is>
      </c>
      <c r="C38" s="13" t="inlineStr">
        <is>
          <t>Application</t>
        </is>
      </c>
      <c r="D38" s="12" t="inlineStr">
        <is>
          <t>Cash</t>
        </is>
      </c>
      <c r="E38" s="12" t="inlineStr">
        <is>
          <t>Funds captured at gateway but no record (orphaned charge).</t>
        </is>
      </c>
      <c r="F38" s="12" t="inlineStr">
        <is>
          <t>Completeness</t>
        </is>
      </c>
      <c r="G38" s="12" t="inlineStr">
        <is>
          <t>Row persisted Pending BEFORE gateway capture; flipped Failed on error — no unrecorded captured funds.</t>
        </is>
      </c>
      <c r="H38" s="13" t="inlineStr">
        <is>
          <t>Prev</t>
        </is>
      </c>
      <c r="I38" s="13" t="inlineStr">
        <is>
          <t>Automated</t>
        </is>
      </c>
      <c r="J38" s="13" t="inlineStr">
        <is>
          <t>Per txn</t>
        </is>
      </c>
      <c r="K38" s="12" t="inlineStr">
        <is>
          <t>Eng Lead</t>
        </is>
      </c>
      <c r="L38" s="13" t="inlineStr">
        <is>
          <t>P10</t>
        </is>
      </c>
      <c r="M38" s="12" t="inlineStr">
        <is>
          <t>payments.service.ts (recordTender)</t>
        </is>
      </c>
      <c r="N38" s="12" t="inlineStr">
        <is>
          <t>Inspect pre-persist + error path.</t>
        </is>
      </c>
      <c r="O38" s="12" t="inlineStr">
        <is>
          <t>Simulate capture/persist failure → no orphan.</t>
        </is>
      </c>
      <c r="P38" s="12" t="inlineStr">
        <is>
          <t>Negative test</t>
        </is>
      </c>
      <c r="Q38" s="18" t="inlineStr">
        <is>
          <t>Implemented</t>
        </is>
      </c>
    </row>
    <row r="39">
      <c r="A39" s="15" t="inlineStr">
        <is>
          <t>REV-04</t>
        </is>
      </c>
      <c r="B39" s="16" t="inlineStr">
        <is>
          <t>Revenue &amp; Cash</t>
        </is>
      </c>
      <c r="C39" s="17" t="inlineStr">
        <is>
          <t>Application</t>
        </is>
      </c>
      <c r="D39" s="16" t="inlineStr">
        <is>
          <t>Revenue</t>
        </is>
      </c>
      <c r="E39" s="16" t="inlineStr">
        <is>
          <t>Missing/duplicate sales not detected (completeness).</t>
        </is>
      </c>
      <c r="F39" s="16" t="inlineStr">
        <is>
          <t>Completeness</t>
        </is>
      </c>
      <c r="G39" s="16" t="inlineStr">
        <is>
          <t>Sequential, gapless document numbering for sales/payments (per type/day).</t>
        </is>
      </c>
      <c r="H39" s="17" t="inlineStr">
        <is>
          <t>Prev</t>
        </is>
      </c>
      <c r="I39" s="17" t="inlineStr">
        <is>
          <t>Automated</t>
        </is>
      </c>
      <c r="J39" s="17" t="inlineStr">
        <is>
          <t>Per txn</t>
        </is>
      </c>
      <c r="K39" s="16" t="inlineStr">
        <is>
          <t>Eng Lead</t>
        </is>
      </c>
      <c r="L39" s="17" t="inlineStr">
        <is>
          <t>P13</t>
        </is>
      </c>
      <c r="M39" s="16" t="inlineStr">
        <is>
          <t>common/doc-number.service.ts</t>
        </is>
      </c>
      <c r="N39" s="16" t="inlineStr">
        <is>
          <t>Inspect numbering scheme.</t>
        </is>
      </c>
      <c r="O39" s="16" t="inlineStr">
        <is>
          <t>Sample sequence for gaps/duplicates.</t>
        </is>
      </c>
      <c r="P39" s="16" t="inlineStr">
        <is>
          <t>Doc-no sequence</t>
        </is>
      </c>
      <c r="Q39" s="18" t="inlineStr">
        <is>
          <t>Implemented</t>
        </is>
      </c>
    </row>
    <row r="40">
      <c r="A40" s="11" t="inlineStr">
        <is>
          <t>REV-05</t>
        </is>
      </c>
      <c r="B40" s="12" t="inlineStr">
        <is>
          <t>Revenue &amp; Cash</t>
        </is>
      </c>
      <c r="C40" s="13" t="inlineStr">
        <is>
          <t>Application</t>
        </is>
      </c>
      <c r="D40" s="12" t="inlineStr">
        <is>
          <t>Cash</t>
        </is>
      </c>
      <c r="E40" s="12" t="inlineStr">
        <is>
          <t>Cash drawer shortages/skimming undetected.</t>
        </is>
      </c>
      <c r="F40" s="12" t="inlineStr">
        <is>
          <t>Existence/Accuracy</t>
        </is>
      </c>
      <c r="G40" s="12" t="inlineStr">
        <is>
          <t>Till reconciliation: opening float, counted vs expected cash, variance + X/Z shift reports. On close the over/short is also POSTED to GL (5830 Cash Over/Short ↔ 1000 Cash) so book-cash tracks the physical count — see REV-13 for the variance GL posting + material-variance maker-checker.</t>
        </is>
      </c>
      <c r="H40" s="13" t="inlineStr">
        <is>
          <t>Det</t>
        </is>
      </c>
      <c r="I40" s="13" t="inlineStr">
        <is>
          <t>Auto+Manual</t>
        </is>
      </c>
      <c r="J40" s="13" t="inlineStr">
        <is>
          <t>Per shift</t>
        </is>
      </c>
      <c r="K40" s="12" t="inlineStr">
        <is>
          <t>Store Ops Mgr</t>
        </is>
      </c>
      <c r="L40" s="13" t="inlineStr">
        <is>
          <t>P10/P16</t>
        </is>
      </c>
      <c r="M40" s="12" t="inlineStr">
        <is>
          <t>payments.service.ts (openTill/closeTill/aggregateTill); cutover/cashreport.ts (ToE)</t>
        </is>
      </c>
      <c r="N40" s="12" t="inlineStr">
        <is>
          <t>Inspect variance computation.</t>
        </is>
      </c>
      <c r="O40" s="12" t="inlineStr">
        <is>
          <t>Sample shifts: Z-report variance reviewed &amp; signed.</t>
        </is>
      </c>
      <c r="P40" s="12" t="inlineStr">
        <is>
          <t>Z-reports</t>
        </is>
      </c>
      <c r="Q40" s="18" t="inlineStr">
        <is>
          <t>Implemented</t>
        </is>
      </c>
    </row>
    <row r="41">
      <c r="A41" s="15" t="inlineStr">
        <is>
          <t>REV-06</t>
        </is>
      </c>
      <c r="B41" s="16" t="inlineStr">
        <is>
          <t>Revenue &amp; Cash</t>
        </is>
      </c>
      <c r="C41" s="17" t="inlineStr">
        <is>
          <t>Application</t>
        </is>
      </c>
      <c r="D41" s="16" t="inlineStr">
        <is>
          <t>Cash; Revenue</t>
        </is>
      </c>
      <c r="E41" s="16" t="inlineStr">
        <is>
          <t>Refunds exceed original payment (leakage/fraud).</t>
        </is>
      </c>
      <c r="F41" s="16" t="inlineStr">
        <is>
          <t>Validity</t>
        </is>
      </c>
      <c r="G41" s="16" t="inlineStr">
        <is>
          <t>Over-refund prevention — refund + prior refunds ≤ captured, evaluated under a payment-row lock.</t>
        </is>
      </c>
      <c r="H41" s="17" t="inlineStr">
        <is>
          <t>Prev</t>
        </is>
      </c>
      <c r="I41" s="17" t="inlineStr">
        <is>
          <t>Automated</t>
        </is>
      </c>
      <c r="J41" s="17" t="inlineStr">
        <is>
          <t>Per txn</t>
        </is>
      </c>
      <c r="K41" s="16" t="inlineStr">
        <is>
          <t>Eng Lead</t>
        </is>
      </c>
      <c r="L41" s="17" t="inlineStr">
        <is>
          <t>P10</t>
        </is>
      </c>
      <c r="M41" s="16" t="inlineStr">
        <is>
          <t>payments.service.ts (refund, FOR UPDATE)</t>
        </is>
      </c>
      <c r="N41" s="16" t="inlineStr">
        <is>
          <t>Inspect lock + cumulative check.</t>
        </is>
      </c>
      <c r="O41" s="16" t="inlineStr">
        <is>
          <t>Concurrent-refund test cannot exceed captured.</t>
        </is>
      </c>
      <c r="P41" s="16" t="inlineStr">
        <is>
          <t>Refund test</t>
        </is>
      </c>
      <c r="Q41" s="18" t="inlineStr">
        <is>
          <t>Implemented</t>
        </is>
      </c>
    </row>
    <row r="42">
      <c r="A42" s="11" t="inlineStr">
        <is>
          <t>REV-07</t>
        </is>
      </c>
      <c r="B42" s="12" t="inlineStr">
        <is>
          <t>Revenue &amp; Cash</t>
        </is>
      </c>
      <c r="C42" s="13" t="inlineStr">
        <is>
          <t>Application</t>
        </is>
      </c>
      <c r="D42" s="12" t="inlineStr">
        <is>
          <t>Revenue; Inventory</t>
        </is>
      </c>
      <c r="E42" s="12" t="inlineStr">
        <is>
          <t>Refund posts but stock/GL not reversed (partial state).</t>
        </is>
      </c>
      <c r="F42" s="12" t="inlineStr">
        <is>
          <t>Completeness/Accuracy</t>
        </is>
      </c>
      <c r="G42" s="12" t="inlineStr">
        <is>
          <t>Returns processed atomically — refund + restock + return record + GL reversal in one transaction.</t>
        </is>
      </c>
      <c r="H42" s="13" t="inlineStr">
        <is>
          <t>Prev</t>
        </is>
      </c>
      <c r="I42" s="13" t="inlineStr">
        <is>
          <t>Automated</t>
        </is>
      </c>
      <c r="J42" s="13" t="inlineStr">
        <is>
          <t>Per txn</t>
        </is>
      </c>
      <c r="K42" s="12" t="inlineStr">
        <is>
          <t>Eng Lead</t>
        </is>
      </c>
      <c r="L42" s="13" t="inlineStr">
        <is>
          <t>P10</t>
        </is>
      </c>
      <c r="M42" s="12" t="inlineStr">
        <is>
          <t>returns.service.ts (createReturn)</t>
        </is>
      </c>
      <c r="N42" s="12" t="inlineStr">
        <is>
          <t>Inspect single-transaction boundary.</t>
        </is>
      </c>
      <c r="O42" s="12" t="inlineStr">
        <is>
          <t>Inject mid-flow failure → full rollback.</t>
        </is>
      </c>
      <c r="P42" s="12" t="inlineStr">
        <is>
          <t>Atomicity test</t>
        </is>
      </c>
      <c r="Q42" s="18" t="inlineStr">
        <is>
          <t>Implemented</t>
        </is>
      </c>
    </row>
    <row r="43">
      <c r="A43" s="15" t="inlineStr">
        <is>
          <t>REV-08</t>
        </is>
      </c>
      <c r="B43" s="16" t="inlineStr">
        <is>
          <t>Revenue &amp; Cash</t>
        </is>
      </c>
      <c r="C43" s="17" t="inlineStr">
        <is>
          <t>Application</t>
        </is>
      </c>
      <c r="D43" s="16" t="inlineStr">
        <is>
          <t>Accounts Receivable</t>
        </is>
      </c>
      <c r="E43" s="16" t="inlineStr">
        <is>
          <t>Orders accepted beyond customer credit limit; credit holds set/lifted by one person; limit changes untraceable.</t>
        </is>
      </c>
      <c r="F43" s="16" t="inlineStr">
        <is>
          <t>Valuation</t>
        </is>
      </c>
      <c r="G43" s="16" t="inlineStr">
        <is>
          <t>Credit-limit check at order — outstanding AR + order ≤ limit, under tenant-row lock; credit-hold block. Credit Manager may place/release manual holds and change limits, but a hold cannot be released by the user who placed it (SOD_SELF_RELEASE — requires an approver); every hold/release/limit-change is written to a credit-events audit trail.</t>
        </is>
      </c>
      <c r="H43" s="17" t="inlineStr">
        <is>
          <t>Prev</t>
        </is>
      </c>
      <c r="I43" s="17" t="inlineStr">
        <is>
          <t>Automated</t>
        </is>
      </c>
      <c r="J43" s="17" t="inlineStr">
        <is>
          <t>Per order / per credit action</t>
        </is>
      </c>
      <c r="K43" s="16" t="inlineStr">
        <is>
          <t>Controller</t>
        </is>
      </c>
      <c r="L43" s="17" t="inlineStr">
        <is>
          <t>P10</t>
        </is>
      </c>
      <c r="M43" s="16" t="inlineStr">
        <is>
          <t>pos.service.ts (createOrder, FOR UPDATE); collections.service.ts (placeHold/releaseHold/changeLimit, creditEvents); cutover/compliance.ts + basics.ts (ToE)</t>
        </is>
      </c>
      <c r="N43" s="16" t="inlineStr">
        <is>
          <t>Inspect AR sum + lock + limit logic; inspect hold/release SoD and credit-events logging.</t>
        </is>
      </c>
      <c r="O43" s="16" t="inlineStr">
        <is>
          <t>Sample: outstanding+order ≤ limit allowed, &gt; limit → CREDIT_LIMIT, credit-hold → CREDIT_HOLD; self-release → SOD_SELF_RELEASE, second person releases; limit change recorded old→new in credit-events (re-performed by the harness).</t>
        </is>
      </c>
      <c r="P43" s="16" t="inlineStr">
        <is>
          <t>Credit test</t>
        </is>
      </c>
      <c r="Q43" s="18" t="inlineStr">
        <is>
          <t>Implemented</t>
        </is>
      </c>
    </row>
    <row r="44">
      <c r="A44" s="11" t="inlineStr">
        <is>
          <t>REV-09</t>
        </is>
      </c>
      <c r="B44" s="12" t="inlineStr">
        <is>
          <t>Revenue &amp; Cash</t>
        </is>
      </c>
      <c r="C44" s="13" t="inlineStr">
        <is>
          <t>Application</t>
        </is>
      </c>
      <c r="D44" s="12" t="inlineStr">
        <is>
          <t>Cash</t>
        </is>
      </c>
      <c r="E44" s="12" t="inlineStr">
        <is>
          <t>Forged payment-gateway callback flips a payment to captured.</t>
        </is>
      </c>
      <c r="F44" s="12" t="inlineStr">
        <is>
          <t>Occurrence</t>
        </is>
      </c>
      <c r="G44" s="12" t="inlineStr">
        <is>
          <t>PSP webhook HMAC-SHA256 signature over raw body; fail-closed in production; out-of-band status re-verify.</t>
        </is>
      </c>
      <c r="H44" s="13" t="inlineStr">
        <is>
          <t>Prev</t>
        </is>
      </c>
      <c r="I44" s="13" t="inlineStr">
        <is>
          <t>Automated</t>
        </is>
      </c>
      <c r="J44" s="13" t="inlineStr">
        <is>
          <t>Per callback</t>
        </is>
      </c>
      <c r="K44" s="12" t="inlineStr">
        <is>
          <t>Eng Lead</t>
        </is>
      </c>
      <c r="L44" s="13" t="inlineStr">
        <is>
          <t>P10/P11</t>
        </is>
      </c>
      <c r="M44" s="12" t="inlineStr">
        <is>
          <t>pos-terminal.controller.ts (PspWebhookController); crypto.verifyWebhookSignature</t>
        </is>
      </c>
      <c r="N44" s="12" t="inlineStr">
        <is>
          <t>Inspect signature check + prod gate.</t>
        </is>
      </c>
      <c r="O44" s="12" t="inlineStr">
        <is>
          <t>Replay/forged signature → 401; valid → accepted.</t>
        </is>
      </c>
      <c r="P44" s="12" t="inlineStr">
        <is>
          <t>Webhook tests</t>
        </is>
      </c>
      <c r="Q44" s="18" t="inlineStr">
        <is>
          <t>Implemented</t>
        </is>
      </c>
    </row>
    <row r="45">
      <c r="A45" s="15" t="inlineStr">
        <is>
          <t>REV-10</t>
        </is>
      </c>
      <c r="B45" s="16" t="inlineStr">
        <is>
          <t>Revenue &amp; Cash</t>
        </is>
      </c>
      <c r="C45" s="17" t="inlineStr">
        <is>
          <t>Application</t>
        </is>
      </c>
      <c r="D45" s="16" t="inlineStr">
        <is>
          <t>Revenue; Tax</t>
        </is>
      </c>
      <c r="E45" s="16" t="inlineStr">
        <is>
          <t>Sales not posted to GL or posted unbalanced.</t>
        </is>
      </c>
      <c r="F45" s="16" t="inlineStr">
        <is>
          <t>Completeness/Accuracy</t>
        </is>
      </c>
      <c r="G45" s="16" t="inlineStr">
        <is>
          <t>Sale/accept posts a balanced revenue + VAT journal entry to the GL automatically.</t>
        </is>
      </c>
      <c r="H45" s="17" t="inlineStr">
        <is>
          <t>Auto</t>
        </is>
      </c>
      <c r="I45" s="17" t="inlineStr">
        <is>
          <t>Automated</t>
        </is>
      </c>
      <c r="J45" s="17" t="inlineStr">
        <is>
          <t>Per txn</t>
        </is>
      </c>
      <c r="K45" s="16" t="inlineStr">
        <is>
          <t>Controller</t>
        </is>
      </c>
      <c r="L45" s="17" t="inlineStr">
        <is>
          <t>P10</t>
        </is>
      </c>
      <c r="M45" s="16" t="inlineStr">
        <is>
          <t>ledger.service.ts (postEntry) from POS/CPQ flows</t>
        </is>
      </c>
      <c r="N45" s="16" t="inlineStr">
        <is>
          <t>Walkthrough sale → JE.</t>
        </is>
      </c>
      <c r="O45" s="16" t="inlineStr">
        <is>
          <t>Tie sample sales to GL postings.</t>
        </is>
      </c>
      <c r="P45" s="16" t="inlineStr">
        <is>
          <t>Sale→GL tie-out</t>
        </is>
      </c>
      <c r="Q45" s="18" t="inlineStr">
        <is>
          <t>Implemented</t>
        </is>
      </c>
    </row>
    <row r="46">
      <c r="A46" s="11" t="inlineStr">
        <is>
          <t>REV-11</t>
        </is>
      </c>
      <c r="B46" s="12" t="inlineStr">
        <is>
          <t>Revenue &amp; Cash</t>
        </is>
      </c>
      <c r="C46" s="13" t="inlineStr">
        <is>
          <t>Application</t>
        </is>
      </c>
      <c r="D46" s="12" t="inlineStr">
        <is>
          <t>Cash</t>
        </is>
      </c>
      <c r="E46" s="12" t="inlineStr">
        <is>
          <t>Card settlements not reconciled to PSP payouts.</t>
        </is>
      </c>
      <c r="F46" s="12" t="inlineStr">
        <is>
          <t>Existence/Accuracy</t>
        </is>
      </c>
      <c r="G46" s="12" t="inlineStr">
        <is>
          <t>Payment intents batched into settlement; settlement reconcile step.</t>
        </is>
      </c>
      <c r="H46" s="13" t="inlineStr">
        <is>
          <t>Det</t>
        </is>
      </c>
      <c r="I46" s="13" t="inlineStr">
        <is>
          <t>Auto+Manual</t>
        </is>
      </c>
      <c r="J46" s="13" t="inlineStr">
        <is>
          <t>Daily</t>
        </is>
      </c>
      <c r="K46" s="12" t="inlineStr">
        <is>
          <t>Controller</t>
        </is>
      </c>
      <c r="L46" s="13" t="inlineStr">
        <is>
          <t>P16</t>
        </is>
      </c>
      <c r="M46" s="12" t="inlineStr">
        <is>
          <t>pos-terminal.service.ts (settle / reconcile)</t>
        </is>
      </c>
      <c r="N46" s="12" t="inlineStr">
        <is>
          <t>Inspect settlement batching.</t>
        </is>
      </c>
      <c r="O46" s="12" t="inlineStr">
        <is>
          <t>Sample batch reconciled to PSP statement.</t>
        </is>
      </c>
      <c r="P46" s="12" t="inlineStr">
        <is>
          <t>Settlement recon</t>
        </is>
      </c>
      <c r="Q46" s="18" t="inlineStr">
        <is>
          <t>Implemented</t>
        </is>
      </c>
    </row>
    <row r="47">
      <c r="A47" s="15" t="inlineStr">
        <is>
          <t>REV-12</t>
        </is>
      </c>
      <c r="B47" s="16" t="inlineStr">
        <is>
          <t>Revenue &amp; Cash</t>
        </is>
      </c>
      <c r="C47" s="17" t="inlineStr">
        <is>
          <t>Application</t>
        </is>
      </c>
      <c r="D47" s="16" t="inlineStr">
        <is>
          <t>Accounts Receivable</t>
        </is>
      </c>
      <c r="E47" s="16" t="inlineStr">
        <is>
          <t>Overdue receivables not pursued; collection lapses; further credit extended to a defaulting customer.</t>
        </is>
      </c>
      <c r="F47" s="16" t="inlineStr">
        <is>
          <t>Valuation/Authorization</t>
        </is>
      </c>
      <c r="G47" s="16" t="inlineStr">
        <is>
          <t>AR collections worklist + escalating dunning ladder (reminder→legal) recorded per invoice (DUN-), with the per-stage notice DISPATCHED to the customer (email/SMS/LINE via the messaging gateway; delivery outcome + recipient logged); credit-status / credit-check hold (over-limit OR 90+ days overdue). The serious-overdue hold is ENFORCED at POS/portal order entry (CREDIT_OVERDUE) under the FOR-UPDATE tenant lock, single-sourced with the collections on_hold threshold so the two never drift.</t>
        </is>
      </c>
      <c r="H47" s="17" t="inlineStr">
        <is>
          <t>Det/Prev</t>
        </is>
      </c>
      <c r="I47" s="17" t="inlineStr">
        <is>
          <t>Auto+Manual</t>
        </is>
      </c>
      <c r="J47" s="17" t="inlineStr">
        <is>
          <t>Per overdue invoice / per order</t>
        </is>
      </c>
      <c r="K47" s="16" t="inlineStr">
        <is>
          <t>AR / Controller</t>
        </is>
      </c>
      <c r="L47" s="17" t="inlineStr">
        <is>
          <t>P10/P16</t>
        </is>
      </c>
      <c r="M47" s="16" t="inlineStr">
        <is>
          <t>collections.service.ts (worklist, recordDunning+dispatch, runDunningSweep, creditStatus, creditCheck, SERIOUS_OVERDUE_DAYS); messaging.service.ts (notice delivery); pos.service.ts (createOrder CREDIT_OVERDUE); collections.controller.ts (incl. cron-callable /collections/sweep); bi.service.ts (ar_collections_dunning scheduled job, daily via runDue); /finance Collections UI; cutover/basics.ts (ToE)</t>
        </is>
      </c>
      <c r="N47" s="16" t="inlineStr">
        <is>
          <t>Inspect aging→stage logic, notice dispatch, hold decision, automated+scheduled sweep + order-entry gate.</t>
        </is>
      </c>
      <c r="O47" s="16" t="inlineStr">
        <is>
          <t>Worklist ages open AR; manual + automated (idempotent) + daily-scheduled dunning recorded AND the notice delivered (message_log, channel auto-picked from contact); held customer's credit-check denied; a 90+ defaulter is blocked at order entry while a good-standing customer orders (re-performed by the harness).</t>
        </is>
      </c>
      <c r="P47" s="16" t="inlineStr">
        <is>
          <t>Dunning log + message_log; sweep/scheduler run log; credit-hold report; CREDIT_OVERDUE rejections</t>
        </is>
      </c>
      <c r="Q47" s="18" t="inlineStr">
        <is>
          <t>Implemented</t>
        </is>
      </c>
    </row>
    <row r="48">
      <c r="A48" s="11" t="inlineStr">
        <is>
          <t>REV-13</t>
        </is>
      </c>
      <c r="B48" s="12" t="inlineStr">
        <is>
          <t>Revenue &amp; Cash</t>
        </is>
      </c>
      <c r="C48" s="13" t="inlineStr">
        <is>
          <t>Application</t>
        </is>
      </c>
      <c r="D48" s="12" t="inlineStr">
        <is>
          <t>Cash</t>
        </is>
      </c>
      <c r="E48" s="12" t="inlineStr">
        <is>
          <t>Cash over/short never hits the books, or a cashier clears their own material drawer discrepancy — a shortage (theft/skimming) is buried because book-cash (1000) is never reconciled to the physical count, and no independent review gates a large variance.</t>
        </is>
      </c>
      <c r="F48" s="12" t="inlineStr">
        <is>
          <t>Accuracy/Completeness/Authorization</t>
        </is>
      </c>
      <c r="G48" s="12" t="inlineStr">
        <is>
          <t>Till-close cash over/short GL posting + material-variance maker-checker (SoD): on closeTill the variance (counted − expected) is POSTED to GL — short → Dr 5830 Cash Over/Short / Cr 1000 Cash; over → Dr 1000 / Cr 5830 — so the cash control account always tracks the physical count (idempotent per till via source=TILL_CLOSE). A variance at/above the materiality threshold (THB 100) posts the over/short as a DRAFT JE and parks the session in PendingApproval: a DIFFERENT user (manager) must approve (POST /api/payments/till/variance/:sessionNo/approve) before it is effective — self-approval → SOD_VIOLATION (binds even Admin); reject voids the draft. Sub-threshold variances post immediately. The till still closes either way (the cash has left the drawer); only the GL clearing of a material discrepancy is gated.</t>
        </is>
      </c>
      <c r="H48" s="13" t="inlineStr">
        <is>
          <t>Prev/Det</t>
        </is>
      </c>
      <c r="I48" s="13" t="inlineStr">
        <is>
          <t>Automated</t>
        </is>
      </c>
      <c r="J48" s="13" t="inlineStr">
        <is>
          <t>Per shift close</t>
        </is>
      </c>
      <c r="K48" s="12" t="inlineStr">
        <is>
          <t>Store Ops Mgr / Controller</t>
        </is>
      </c>
      <c r="L48" s="13" t="inlineStr">
        <is>
          <t>P10/P16</t>
        </is>
      </c>
      <c r="M48" s="12" t="inlineStr">
        <is>
          <t>payments.service.ts (closeTill posts 5830↔1000, approveVariance/rejectVariance via ledger.approveEntry/rejectEntry SoD); payments.controller.ts (till/variance/:sessionNo/approve|reject, pos_till); schema/payments.ts till_sessions.variance_status/variance_journal_no + migration 0140 (account 5830); ledger COA 5830 Cash Over/Short; cutover/cashreport.ts (ToE)</t>
        </is>
      </c>
      <c r="N48" s="12" t="inlineStr">
        <is>
          <t>Inspect the over/short JE direction + the materiality gate + the approver≠closer check + that a material variance posts a Draft (excluded from balances) until approved.</t>
        </is>
      </c>
      <c r="O48" s="12" t="inlineStr">
        <is>
          <t>Re-perform: close with a small short → over/short posts to 5830 immediately (NotRequired); close with a material short → Draft JE + PendingApproval, self-approve blocked (SOD_VIOLATION), a different user approves → JE Posted; trial balance stays balanced throughout (re-performed by the cashreport harness).</t>
        </is>
      </c>
      <c r="P48" s="12" t="inlineStr">
        <is>
          <t>Cash over/short JEs (5830); till variance approval trail</t>
        </is>
      </c>
      <c r="Q48" s="18" t="inlineStr">
        <is>
          <t>Implemented</t>
        </is>
      </c>
    </row>
    <row r="49">
      <c r="A49" s="15" t="inlineStr">
        <is>
          <t>POS-07</t>
        </is>
      </c>
      <c r="B49" s="16" t="inlineStr">
        <is>
          <t>Revenue &amp; Cash</t>
        </is>
      </c>
      <c r="C49" s="17" t="inlineStr">
        <is>
          <t>Application</t>
        </is>
      </c>
      <c r="D49" s="16" t="inlineStr">
        <is>
          <t>Cash; Revenue</t>
        </is>
      </c>
      <c r="E49" s="16" t="inlineStr">
        <is>
          <t>The close-of-day Z-tape can be altered after the fact — a shift's recorded sales/cash totals are mutated to conceal skimming, and there is no immutable, attested record an auditor can rely on to prove the day's takings as originally counted.</t>
        </is>
      </c>
      <c r="F49" s="16" t="inlineStr">
        <is>
          <t>Completeness/Accuracy/Authorization</t>
        </is>
      </c>
      <c r="G49" s="16" t="inlineStr">
        <is>
          <t>Signed, tamper-evident Z-report archive (POS-07): closing a till computes the shift totals (gross sales, by-method, expected vs counted cash, over/short — see REV-13); a manager then SIGNS the Z-report (POST /api/payments/till/:sessionNo/z-report/sign, gated pos_close — distinct from the cashier's pos_till) which SNAPSHOTS those totals + the denomination count into an immutable record (xz_reports/xz_report_denominations) carrying a content_hash = sha256 over the canonical totals. Signing is only allowed once the till is Closed (TILL_NOT_CLOSED otherwise) and is idempotent per till (a second sign returns the existing record — no duplicate Z-tape). On read, the stored hash is RE-COMPUTED from the persisted totals and any mismatch is surfaced as hash_valid=false, so a later edit to the archived row is detectable. A sell-only Cashier (pos_sell) cannot sign — the attestation is a manager duty.</t>
        </is>
      </c>
      <c r="H49" s="17" t="inlineStr">
        <is>
          <t>Det</t>
        </is>
      </c>
      <c r="I49" s="17" t="inlineStr">
        <is>
          <t>Automated</t>
        </is>
      </c>
      <c r="J49" s="17" t="inlineStr">
        <is>
          <t>Per shift close</t>
        </is>
      </c>
      <c r="K49" s="16" t="inlineStr">
        <is>
          <t>Store Ops Mgr / Controller</t>
        </is>
      </c>
      <c r="L49" s="17" t="inlineStr">
        <is>
          <t>P10/P16</t>
        </is>
      </c>
      <c r="M49" s="16" t="inlineStr">
        <is>
          <t>payments.service.ts (signZReport snapshots aggregateTill totals + denominations, content_hash via node:crypto, idempotent per till; getXzReport recomputes the hash → hash_valid; listXzReports); payments.controller.ts (till/:sessionNo/z-report/sign pos_close, xz-reports[/:id]); schema/payments.ts xz_reports + xz_report_denominations + migration 0157; permissions.ts pos_close (PosSupervisor); cutover/cashreport.ts (ToE)</t>
        </is>
      </c>
      <c r="N49" s="16" t="inlineStr">
        <is>
          <t>Inspect the sign→SIGNED+content_hash flow, the closed-till precondition, the idempotency, and the hash recompute → hash_valid tamper flag.</t>
        </is>
      </c>
      <c r="O49" s="16" t="inlineStr">
        <is>
          <t>Re-perform: close a till, sign the Z (SIGNED + 64-hex hash, denominations snapshotted), re-sign (already=true, same hash), fetch (hash_valid=true), tamper a persisted total (hash_valid=false), sign an open till (TILL_NOT_CLOSED), Cashier sign (403) — re-performed by the cashreport harness.</t>
        </is>
      </c>
      <c r="P49" s="16" t="inlineStr">
        <is>
          <t>Signed Z-report archive + tamper-detection test</t>
        </is>
      </c>
      <c r="Q49" s="18" t="inlineStr">
        <is>
          <t>Implemented</t>
        </is>
      </c>
    </row>
    <row r="50">
      <c r="A50" s="11" t="inlineStr">
        <is>
          <t>REV-14</t>
        </is>
      </c>
      <c r="B50" s="12" t="inlineStr">
        <is>
          <t>Revenue &amp; Cash</t>
        </is>
      </c>
      <c r="C50" s="13" t="inlineStr">
        <is>
          <t>Application</t>
        </is>
      </c>
      <c r="D50" s="12" t="inlineStr">
        <is>
          <t>Accounts Receivable; Bad-debt expense</t>
        </is>
      </c>
      <c r="E50" s="12" t="inlineStr">
        <is>
          <t>An uncollectible receivable is written off the books without independent review — one person both declares the receivable uncollectible and posts the write-off, concealing a misappropriated customer collection (lapping) or removing a still-collectible balance.</t>
        </is>
      </c>
      <c r="F50" s="12" t="inlineStr">
        <is>
          <t>Valuation/Authorization</t>
        </is>
      </c>
      <c r="G50" s="12" t="inlineStr">
        <is>
          <t>AR bad-debt write-off maker-checker (SoD): POST /api/finance/ar/write-off books the write-off (Dr 5720 Bad Debt Expense / Cr 1100 AR) as a DRAFT via the ledger maker-checker (GL-05) — excluded from the trial balance until a DIFFERENT user approves it (POST /api/ledger/journal/:entryNo/approve); a self-approval → SOD_VIOLATION (binds even Admin), and the pending write-off surfaces in the pending-approvals monitor automatically (it is a Draft JE). A non-positive amount → BAD_AMOUNT and a missing reason is rejected. The write-off register (GET /api/finance/ar/write-offs) lists every write-off Draft(pending)/Posted(approved)/Voided(rejected) with its amount for controller review.</t>
        </is>
      </c>
      <c r="H50" s="13" t="inlineStr">
        <is>
          <t>Prev</t>
        </is>
      </c>
      <c r="I50" s="13" t="inlineStr">
        <is>
          <t>Automated</t>
        </is>
      </c>
      <c r="J50" s="13" t="inlineStr">
        <is>
          <t>Per write-off</t>
        </is>
      </c>
      <c r="K50" s="12" t="inlineStr">
        <is>
          <t>AR / Controller</t>
        </is>
      </c>
      <c r="L50" s="13" t="inlineStr">
        <is>
          <t>P10</t>
        </is>
      </c>
      <c r="M50" s="12" t="inlineStr">
        <is>
          <t>finance.service.ts writeOffAr/listWriteOffs; finance.controller.ts (ar/write-off, ar/write-offs); ledger COA 5720 Bad Debt Expense; reuses ledger.approveEntry maker-checker (GL-05); cutover/basics.ts (ToE)</t>
        </is>
      </c>
      <c r="N50" s="12" t="inlineStr">
        <is>
          <t>Inspect the write-off → Draft (excluded from balances) → approve flow + the approver≠maker check + that nothing posts until approval.</t>
        </is>
      </c>
      <c r="O50" s="12" t="inlineStr">
        <is>
          <t>Re-perform: request a write-off (Draft, 5720 unchanged), attempt self-approve (SOD_VIOLATION), approve as a different user; confirm 5720 bad-debt expense + 1100 relief only after approval; the register lists it (re-performed by the basics harness).</t>
        </is>
      </c>
      <c r="P50" s="12" t="inlineStr">
        <is>
          <t>Write-off register + SoD test</t>
        </is>
      </c>
      <c r="Q50" s="18" t="inlineStr">
        <is>
          <t>Implemented</t>
        </is>
      </c>
    </row>
    <row r="51">
      <c r="A51" s="15" t="inlineStr">
        <is>
          <t>REV-15</t>
        </is>
      </c>
      <c r="B51" s="16" t="inlineStr">
        <is>
          <t>Revenue &amp; Cash</t>
        </is>
      </c>
      <c r="C51" s="17" t="inlineStr">
        <is>
          <t>Application</t>
        </is>
      </c>
      <c r="D51" s="16" t="inlineStr">
        <is>
          <t>Accounts Receivable; Revenue</t>
        </is>
      </c>
      <c r="E51" s="16" t="inlineStr">
        <is>
          <t>No single customer-of-record — B2C loyalty members and B2B accounts live in disjoint silos, so revenue-by-customer, a 360 view, and AR-by-customer cannot be reconciled to one identity (incomplete/duplicated customer reporting; AR mis-attributed).</t>
        </is>
      </c>
      <c r="F51" s="16" t="inlineStr">
        <is>
          <t>Completeness/Accuracy</t>
        </is>
      </c>
      <c r="G51" s="16" t="inlineStr">
        <is>
          <t>Unified customer master: a single registry (customer_master) is the customer-of-record, LINKING the pre-existing silos — member_id → pos_members (B2C loyalty) and account_code → the B2B customer tenant (orders + AR) — without disturbing them. A 360 view (GET /api/customer-master/:no/360) joins both: loyalty tier/points + the B2B orders/stats and AR balance, and the 360 AR-outstanding TIES to the AR sub-ledger for that account (revenue/AR resolve to one record). Tenant-scoped (RLS). Create/link/search are gated by crm/exec/ar.</t>
        </is>
      </c>
      <c r="H51" s="17" t="inlineStr">
        <is>
          <t>Det</t>
        </is>
      </c>
      <c r="I51" s="17" t="inlineStr">
        <is>
          <t>Auto+Manual</t>
        </is>
      </c>
      <c r="J51" s="17" t="inlineStr">
        <is>
          <t>Continuous / per customer</t>
        </is>
      </c>
      <c r="K51" s="16" t="inlineStr">
        <is>
          <t>CRM / AR / Controller</t>
        </is>
      </c>
      <c r="L51" s="17" t="inlineStr">
        <is>
          <t>P13</t>
        </is>
      </c>
      <c r="M51" s="16" t="inlineStr">
        <is>
          <t>customers.module.ts CustomerMasterService (create/list/get/link/view360 — reuses CustomersService.detail for the B2B side); customer-master controller (POST/GET /api/customer-master, :no/360, :no/link); schema/customer-master.ts customer_master + migration 0149; cutover/basics.ts (ToE)</t>
        </is>
      </c>
      <c r="N51" s="16" t="inlineStr">
        <is>
          <t>Inspect the master registry + the 360 join across loyalty + AR + that 360 AR-outstanding ties to the AR sub-ledger.</t>
        </is>
      </c>
      <c r="O51" s="16" t="inlineStr">
        <is>
          <t>Re-perform: create a customer-of-record linking a B2B account + a B2C member; GET 360 → loyalty tier/points present and AR-outstanding equals the AR sub-ledger for the account; search finds the record (re-performed by the basics harness).</t>
        </is>
      </c>
      <c r="P51" s="16" t="inlineStr">
        <is>
          <t>Customer master register + 360 AR tie-out</t>
        </is>
      </c>
      <c r="Q51" s="18" t="inlineStr">
        <is>
          <t>Implemented</t>
        </is>
      </c>
    </row>
    <row r="52">
      <c r="A52" s="11" t="inlineStr">
        <is>
          <t>REV-16</t>
        </is>
      </c>
      <c r="B52" s="12" t="inlineStr">
        <is>
          <t>Revenue &amp; Cash</t>
        </is>
      </c>
      <c r="C52" s="13" t="inlineStr">
        <is>
          <t>Application</t>
        </is>
      </c>
      <c r="D52" s="12" t="inlineStr">
        <is>
          <t>Cash; Revenue</t>
        </is>
      </c>
      <c r="E52" s="12" t="inlineStr">
        <is>
          <t>A cashier issues a large refund without any independent review — refunding to themselves/an accomplice or reversing a real sale to skim the cash (refund fraud), because the refund moves money the moment one person requests it.</t>
        </is>
      </c>
      <c r="F52" s="12" t="inlineStr">
        <is>
          <t>Authorization/Occurrence</t>
        </is>
      </c>
      <c r="G52" s="12" t="inlineStr">
        <is>
          <t>Refund maker-checker (SoD): a STANDALONE refund (POST /api/payments/refunds) at/above the materiality threshold (THB 1,000) is parked as a REQUEST (refund_requests) and MOVES NO MONEY — no payment_refunds row, the payment is not flipped — until a DIFFERENT user approves it (POST /api/payments/refund-requests/:id/approve); self-approval → SOD_VIOLATION; reject voids the request. Sub-threshold refunds run immediately, and a refund that is part of a goods-return is never gated (the return is the authorizing document, REV-07). The pending request auto-surfaces in the GOV-01 pending-approvals monitor and an inline approve/reject sits on the /approvals screen. The over-refund guard (REV-06) still binds at execution.</t>
        </is>
      </c>
      <c r="H52" s="13" t="inlineStr">
        <is>
          <t>Prev</t>
        </is>
      </c>
      <c r="I52" s="13" t="inlineStr">
        <is>
          <t>Automated</t>
        </is>
      </c>
      <c r="J52" s="13" t="inlineStr">
        <is>
          <t>Per large refund</t>
        </is>
      </c>
      <c r="K52" s="12" t="inlineStr">
        <is>
          <t>PosSupervisor / Controller</t>
        </is>
      </c>
      <c r="L52" s="13" t="inlineStr">
        <is>
          <t>P10</t>
        </is>
      </c>
      <c r="M52" s="12" t="inlineStr">
        <is>
          <t>payments.service.ts refund (threshold gate → requestRefund), approveRefund/rejectRefund (SoD by username), listRefundRequests; payments.controller.ts (refund-requests/:id/approve|reject, pos_refund/ar/exec); schema/payments.ts refund_requests + migration 0151; finance.pendingApprovals (GOV-01 9th source); /approvals inline action; cutover/refund-approval.ts (ToE)</t>
        </is>
      </c>
      <c r="N52" s="12" t="inlineStr">
        <is>
          <t>Inspect the threshold gate, the request-posts-nothing property, the approver≠requester check, and that the goods-return path is not gated.</t>
        </is>
      </c>
      <c r="O52" s="12" t="inlineStr">
        <is>
          <t>Re-perform: a small refund runs immediately; a large refund parks PendingApproval (no payment_refunds row) + surfaces in GOV-01; self-approve → SOD_VIOLATION; a different user approves → the refund executes; reject moves no money (re-performed by the refund-approval harness).</t>
        </is>
      </c>
      <c r="P52" s="12" t="inlineStr">
        <is>
          <t>Refund-request worklist + SoD test</t>
        </is>
      </c>
      <c r="Q52" s="18" t="inlineStr">
        <is>
          <t>Implemented</t>
        </is>
      </c>
    </row>
    <row r="53">
      <c r="A53" s="15" t="inlineStr">
        <is>
          <t>REV-17</t>
        </is>
      </c>
      <c r="B53" s="16" t="inlineStr">
        <is>
          <t>Revenue &amp; Cash</t>
        </is>
      </c>
      <c r="C53" s="17" t="inlineStr">
        <is>
          <t>Application</t>
        </is>
      </c>
      <c r="D53" s="16" t="inlineStr">
        <is>
          <t>Revenue (pipeline / forecast)</t>
        </is>
      </c>
      <c r="E53" s="16" t="inlineStr">
        <is>
          <t>Sales pipeline ungoverned — no lead-to-opportunity motion or controlled stage progression, so the revenue forecast is unreliable (opportunities skip stages, closed deals are silently re-opened, lost deals carry no reason), and converted leads don't attach to a customer-of-record.</t>
        </is>
      </c>
      <c r="F53" s="16" t="inlineStr">
        <is>
          <t>Accuracy/Completeness</t>
        </is>
      </c>
      <c r="G53" s="16" t="inlineStr">
        <is>
          <t>CRM sales pipeline on the customer-of-record: leads → qualify → CONVERT (creates/attaches a customer_master + an opportunity; a converted/lost lead can't be re-converted) → opportunities run a controlled stage machine (prospecting/qualification/proposal/negotiation/won/lost) where won/lost are TERMINAL (a closed opportunity can't be re-staged → OPP_CLOSED) and lost REQUIRES a reason (LOST_REASON_REQUIRED). The weighted pipeline forecast = Σ open-opportunity amount × probability (probability tracks the stage), with won/lost totals + win-rate — the revenue forecast finance relies on. Activities (call/email/meeting/note/task) are logged per lead/opportunity. Tenant-scoped (RLS); gated crm/exec/ar.</t>
        </is>
      </c>
      <c r="H53" s="17" t="inlineStr">
        <is>
          <t>Det</t>
        </is>
      </c>
      <c r="I53" s="17" t="inlineStr">
        <is>
          <t>Auto+Manual</t>
        </is>
      </c>
      <c r="J53" s="17" t="inlineStr">
        <is>
          <t>Continuous / per deal</t>
        </is>
      </c>
      <c r="K53" s="16" t="inlineStr">
        <is>
          <t>CRM / Sales / Controller</t>
        </is>
      </c>
      <c r="L53" s="17" t="inlineStr">
        <is>
          <t>P13</t>
        </is>
      </c>
      <c r="M53" s="16" t="inlineStr">
        <is>
          <t>crm-pipeline.service.ts (createLead/qualifyLead/convertLead/loseLead, createOpportunity/setStage stage-machine, pipelineSummary weighted forecast, logActivity); crm-pipeline.controller.ts (/api/crm/pipeline/*); schema/crm-pipeline.ts crm_leads/crm_opportunities/crm_activities + migration 0152; cutover/basics.ts (ToE)</t>
        </is>
      </c>
      <c r="N53" s="16" t="inlineStr">
        <is>
          <t>Inspect the lead-conversion → customer-of-record link + the opportunity stage machine (won/lost terminal, lost-reason required) + the weighted forecast.</t>
        </is>
      </c>
      <c r="O53" s="16" t="inlineStr">
        <is>
          <t>Re-perform: create a lead, qualify, convert (→ CUS- + OPP-, re-convert blocked), advance the opportunity to won (terminal — re-stage blocked), lost without a reason blocked; the weighted forecast + won total compute; activities log/list (re-performed by the basics harness).</t>
        </is>
      </c>
      <c r="P53" s="16" t="inlineStr">
        <is>
          <t>Pipeline stage-machine + weighted forecast test</t>
        </is>
      </c>
      <c r="Q53" s="18" t="inlineStr">
        <is>
          <t>Implemented</t>
        </is>
      </c>
    </row>
    <row r="54">
      <c r="A54" s="11" t="inlineStr">
        <is>
          <t>TIP-01</t>
        </is>
      </c>
      <c r="B54" s="12" t="inlineStr">
        <is>
          <t>Revenue &amp; Cash</t>
        </is>
      </c>
      <c r="C54" s="13" t="inlineStr">
        <is>
          <t>Application</t>
        </is>
      </c>
      <c r="D54" s="12" t="inlineStr">
        <is>
          <t>Cash; Tips Payable (2300)</t>
        </is>
      </c>
      <c r="E54" s="12" t="inlineStr">
        <is>
          <t>Staff tips are skimmed or mis-paid — tips collected from guests are never paid out (the 2300 liability grows unexplained), more is paid out than was collected (theft via inflated tip-outs), or the cashier who rings sales also pays the tips (to self).</t>
        </is>
      </c>
      <c r="F54" s="12" t="inlineStr">
        <is>
          <t>Completeness/Accuracy/Authorization</t>
        </is>
      </c>
      <c r="G54" s="12" t="inlineStr">
        <is>
          <t>Tip pooling / distribution with SoD: tips ride into 2300 Tips Payable on checkout (a staff pass-through liability, not revenue/VAT). A distribution (POST /api/restaurant/tips/distribute) pays the pooled tips out to staff for a period — Dr 2300 / Cr 1000 (cash) — clearing the liability; the amount is HARD-CAPPED at the available pool (collected − already distributed, bounded by the 2300 GL outstanding) so tips can never be over-paid (TIP_OVER_DISTRIBUTE). 2300 always reconciles to what is still owed to staff. SoD: distributing is a manager/finance duty (order_mgt/exec), segregated from the cashier who rings sales (pos_sell) — a cashier cannot pay tips to themselves (403).</t>
        </is>
      </c>
      <c r="H54" s="13" t="inlineStr">
        <is>
          <t>Prev/Det</t>
        </is>
      </c>
      <c r="I54" s="13" t="inlineStr">
        <is>
          <t>Automated</t>
        </is>
      </c>
      <c r="J54" s="13" t="inlineStr">
        <is>
          <t>Per period / per payout</t>
        </is>
      </c>
      <c r="K54" s="12" t="inlineStr">
        <is>
          <t>Store Ops Mgr / Controller</t>
        </is>
      </c>
      <c r="L54" s="13" t="inlineStr">
        <is>
          <t>P10/P16</t>
        </is>
      </c>
      <c r="M54" s="12" t="inlineStr">
        <is>
          <t>restaurant/tip.service.ts (pool/distribute/list, outstanding2300 reconciliation, over-distribute guard); restaurant.controller.ts (tips/pool|distribute|list; distribute @order_mgt/exec); schema/restaurant.ts tip_distributions + tip_distribution_lines + migration 0146; payments.tip → 2300 on checkout; cutover/tips.ts (ToE)</t>
        </is>
      </c>
      <c r="N54" s="12" t="inlineStr">
        <is>
          <t>Inspect the pool computation, the 2300↔collected reconciliation, the over-distribute cap, and the cashier-vs-manager SoD on the distribute route.</t>
        </is>
      </c>
      <c r="O54" s="12" t="inlineStr">
        <is>
          <t>Re-perform: ring sales with tips (2300 accrues), a cashier's distribute → 403, a manager distributes by hours (Dr 2300 / Cr 1000, 2300 clears to 0, shares correct), a second over-distribute → TIP_OVER_DISTRIBUTE; trial balance balanced (re-performed by the tips harness).</t>
        </is>
      </c>
      <c r="P54" s="12" t="inlineStr">
        <is>
          <t>Tip distribution register; 2300 reconciliation</t>
        </is>
      </c>
      <c r="Q54" s="18" t="inlineStr">
        <is>
          <t>Implemented</t>
        </is>
      </c>
    </row>
    <row r="55">
      <c r="A55" s="15" t="inlineStr">
        <is>
          <t>REV-18</t>
        </is>
      </c>
      <c r="B55" s="16" t="inlineStr">
        <is>
          <t>Revenue &amp; Cash</t>
        </is>
      </c>
      <c r="C55" s="17" t="inlineStr">
        <is>
          <t>Application</t>
        </is>
      </c>
      <c r="D55" s="16" t="inlineStr">
        <is>
          <t>Accounts Receivable; Bad-debt expense; Allowance for Doubtful Accounts (1190)</t>
        </is>
      </c>
      <c r="E55" s="16" t="inlineStr">
        <is>
          <t>AR is carried at gross with no provision for expected credit losses — receivables that are partly/wholly uncollectible are overstated (assets/equity overstated, bad-debt expense understated and untimely), and a single person could both set the provision and post it (manage earnings via the allowance).</t>
        </is>
      </c>
      <c r="F55" s="16" t="inlineStr">
        <is>
          <t>Valuation/Authorization</t>
        </is>
      </c>
      <c r="G55" s="16" t="inlineStr">
        <is>
          <t>AR Allowance for Doubtful Accounts (ECL): a periodic, aging-driven provision — each open-AR bucket (current / 1-30 / 31-60 / 61-90 / 91-120 / 120+) carries a loss rate and the allowance = Σ(outstanding × rate) (a flat-percentage method is also supported). Computation upserts an UNPOSTED row (one per tenant/as-of-date); posting is MAKER-CHECKED — the poster must DIFFER from the computer (computer self-post → SOD_SELF_POST, binds even Admin) — and journals only the DELTA vs the prior posted allowance (increase: Dr 5720 Bad-Debt Expense / Cr 1190 contra-asset; decrease reverses) so 1190 carries the cumulative provision while 1100 gross AR is untouched. Posting routes through LedgerService.postEntry, so it respects the period lock (PERIOD_LOCKED) and a posted allowance can't be re-posted (ALREADY_POSTED).</t>
        </is>
      </c>
      <c r="H55" s="17" t="inlineStr">
        <is>
          <t>Det/Prev</t>
        </is>
      </c>
      <c r="I55" s="17" t="inlineStr">
        <is>
          <t>Auto+Manual</t>
        </is>
      </c>
      <c r="J55" s="17" t="inlineStr">
        <is>
          <t>Period-end</t>
        </is>
      </c>
      <c r="K55" s="16" t="inlineStr">
        <is>
          <t>AR / Controller</t>
        </is>
      </c>
      <c r="L55" s="17" t="inlineStr">
        <is>
          <t>P10/P16</t>
        </is>
      </c>
      <c r="M55" s="16" t="inlineStr">
        <is>
          <t>finance/ar-allowance.service.ts (computeAllowance aging buckets/rates; postAllowance delta + SoD computer≠poster); finance.controller.ts (/api/finance/ar-allowance/compute|:id/post|GET, gated creditors/ar/gl_post/exec); schema/ar-allowance.ts ar_allowance + migration 0166; COA 1190; cutover/basics.ts (ToE)</t>
        </is>
      </c>
      <c r="N55" s="16" t="inlineStr">
        <is>
          <t>Inspect the aging-bucket rates, the allowance computation, the delta posting (Dr 5720 / Cr 1190), and the compute-vs-post SoD.</t>
        </is>
      </c>
      <c r="O55" s="16" t="inlineStr">
        <is>
          <t>Re-perform: compute an allowance over seeded aged AR (buckets × rates → allowance), the computer's self-post → SOD_SELF_POST, a different user posts the delta → 5720/1190 move by the provision, a re-post → ALREADY_POSTED (re-performed by the basics harness).</t>
        </is>
      </c>
      <c r="P55" s="16" t="inlineStr">
        <is>
          <t>AR allowance register; provision JE; SoD test</t>
        </is>
      </c>
      <c r="Q55" s="18" t="inlineStr">
        <is>
          <t>Implemented</t>
        </is>
      </c>
    </row>
    <row r="56">
      <c r="A56" s="11" t="inlineStr">
        <is>
          <t>EXP-01</t>
        </is>
      </c>
      <c r="B56" s="12" t="inlineStr">
        <is>
          <t>Expenditure</t>
        </is>
      </c>
      <c r="C56" s="13" t="inlineStr">
        <is>
          <t>Application</t>
        </is>
      </c>
      <c r="D56" s="12" t="inlineStr">
        <is>
          <t>Accounts Payable; Inventory</t>
        </is>
      </c>
      <c r="E56" s="12" t="inlineStr">
        <is>
          <t>Pay supplier for goods not ordered/received or wrong price; or the same person who ran the match force-overrides a variance to push their own invoice through.</t>
        </is>
      </c>
      <c r="F56" s="12" t="inlineStr">
        <is>
          <t>Occurrence/Accuracy/Authorization</t>
        </is>
      </c>
      <c r="G56" s="12" t="inlineStr">
        <is>
          <t>3-way match (PO ↔ GR ↔ Invoice) within tolerance gates AP payment; a variance blocks the invoice until it passes or is overridden. The override is MAKER-CHECKED: the person who ran the match cannot override its variance — a DIFFERENT user must (overrider ≠ matchedBy → SOD_VIOLATION, binds even Admin) — and the override is reset by any re-match so a stale override can't keep a now-failing invoice payable.</t>
        </is>
      </c>
      <c r="H56" s="13" t="inlineStr">
        <is>
          <t>Prev</t>
        </is>
      </c>
      <c r="I56" s="13" t="inlineStr">
        <is>
          <t>Automated</t>
        </is>
      </c>
      <c r="J56" s="13" t="inlineStr">
        <is>
          <t>Per invoice</t>
        </is>
      </c>
      <c r="K56" s="12" t="inlineStr">
        <is>
          <t>AP / Controller</t>
        </is>
      </c>
      <c r="L56" s="13" t="inlineStr">
        <is>
          <t>P10</t>
        </is>
      </c>
      <c r="M56" s="12" t="inlineStr">
        <is>
          <t>match/three-way-match.service.ts (match gate; override SoD overrider≠matcher); match.controller.ts (override gated creditors/approvals/gl_close); cutover/match.ts (ToE)</t>
        </is>
      </c>
      <c r="N56" s="12" t="inlineStr">
        <is>
          <t>Inspect match + tolerance + payment gate + the override SoD check.</t>
        </is>
      </c>
      <c r="O56" s="12" t="inlineStr">
        <is>
          <t>Sample invoices: payment blocked until matched; the matcher's self-override is rejected SOD_VIOLATION, an independent override unblocks, a re-match clears it (re-performed by the match harness).</t>
        </is>
      </c>
      <c r="P56" s="12" t="inlineStr">
        <is>
          <t>Match results; override SoD test</t>
        </is>
      </c>
      <c r="Q56" s="18" t="inlineStr">
        <is>
          <t>Implemented</t>
        </is>
      </c>
    </row>
    <row r="57">
      <c r="A57" s="15" t="inlineStr">
        <is>
          <t>EXP-02</t>
        </is>
      </c>
      <c r="B57" s="16" t="inlineStr">
        <is>
          <t>Expenditure</t>
        </is>
      </c>
      <c r="C57" s="17" t="inlineStr">
        <is>
          <t>Application</t>
        </is>
      </c>
      <c r="D57" s="16" t="inlineStr">
        <is>
          <t>Accounts Payable</t>
        </is>
      </c>
      <c r="E57" s="16" t="inlineStr">
        <is>
          <t>Payment to blocklisted/unapproved vendor.</t>
        </is>
      </c>
      <c r="F57" s="16" t="inlineStr">
        <is>
          <t>Validity</t>
        </is>
      </c>
      <c r="G57" s="16" t="inlineStr">
        <is>
          <t>Supplier approval-status / blocklist check blocks PO &amp; payment to blocked vendors.</t>
        </is>
      </c>
      <c r="H57" s="17" t="inlineStr">
        <is>
          <t>Prev</t>
        </is>
      </c>
      <c r="I57" s="17" t="inlineStr">
        <is>
          <t>Automated</t>
        </is>
      </c>
      <c r="J57" s="17" t="inlineStr">
        <is>
          <t>Per txn</t>
        </is>
      </c>
      <c r="K57" s="16" t="inlineStr">
        <is>
          <t>Procurement / AP</t>
        </is>
      </c>
      <c r="L57" s="17" t="inlineStr">
        <is>
          <t>P10</t>
        </is>
      </c>
      <c r="M57" s="16" t="inlineStr">
        <is>
          <t>procurement.service.ts (SUPPLIER_BLOCKED)</t>
        </is>
      </c>
      <c r="N57" s="16" t="inlineStr">
        <is>
          <t>Inspect vendor-status gate.</t>
        </is>
      </c>
      <c r="O57" s="16" t="inlineStr">
        <is>
          <t>Attempt PO to blocked vendor → 422.</t>
        </is>
      </c>
      <c r="P57" s="16" t="inlineStr">
        <is>
          <t>Vendor gate test</t>
        </is>
      </c>
      <c r="Q57" s="18" t="inlineStr">
        <is>
          <t>Implemented</t>
        </is>
      </c>
    </row>
    <row r="58">
      <c r="A58" s="11" t="inlineStr">
        <is>
          <t>EXP-03</t>
        </is>
      </c>
      <c r="B58" s="12" t="inlineStr">
        <is>
          <t>Expenditure</t>
        </is>
      </c>
      <c r="C58" s="13" t="inlineStr">
        <is>
          <t>Application</t>
        </is>
      </c>
      <c r="D58" s="12" t="inlineStr">
        <is>
          <t>Accounts Payable</t>
        </is>
      </c>
      <c r="E58" s="12" t="inlineStr">
        <is>
          <t>PR/PO raised without authorization.</t>
        </is>
      </c>
      <c r="F58" s="12" t="inlineStr">
        <is>
          <t>Authorization</t>
        </is>
      </c>
      <c r="G58" s="12" t="inlineStr">
        <is>
          <t>Purchase requisition / PO approval workflow (maker-checker) per approval matrix.</t>
        </is>
      </c>
      <c r="H58" s="13" t="inlineStr">
        <is>
          <t>Prev</t>
        </is>
      </c>
      <c r="I58" s="13" t="inlineStr">
        <is>
          <t>Auto+Manual</t>
        </is>
      </c>
      <c r="J58" s="13" t="inlineStr">
        <is>
          <t>Per PR/PO</t>
        </is>
      </c>
      <c r="K58" s="12" t="inlineStr">
        <is>
          <t>Procurement Mgr</t>
        </is>
      </c>
      <c r="L58" s="13" t="inlineStr">
        <is>
          <t>P10</t>
        </is>
      </c>
      <c r="M58" s="12" t="inlineStr">
        <is>
          <t>workflow / approvals; procurement.service.ts</t>
        </is>
      </c>
      <c r="N58" s="12" t="inlineStr">
        <is>
          <t>Inspect approval routing + thresholds.</t>
        </is>
      </c>
      <c r="O58" s="12" t="inlineStr">
        <is>
          <t>Sample PRs: approved by authorized approver ≠ requester.</t>
        </is>
      </c>
      <c r="P58" s="12" t="inlineStr">
        <is>
          <t>Approval trail</t>
        </is>
      </c>
      <c r="Q58" s="19" t="inlineStr">
        <is>
          <t>Partial</t>
        </is>
      </c>
    </row>
    <row r="59">
      <c r="A59" s="15" t="inlineStr">
        <is>
          <t>EXP-04</t>
        </is>
      </c>
      <c r="B59" s="16" t="inlineStr">
        <is>
          <t>Expenditure</t>
        </is>
      </c>
      <c r="C59" s="17" t="inlineStr">
        <is>
          <t>Application</t>
        </is>
      </c>
      <c r="D59" s="16" t="inlineStr">
        <is>
          <t>Accounts Payable</t>
        </is>
      </c>
      <c r="E59" s="16" t="inlineStr">
        <is>
          <t>Match tolerance loosened to force payment.</t>
        </is>
      </c>
      <c r="F59" s="16" t="inlineStr">
        <is>
          <t>Validity</t>
        </is>
      </c>
      <c r="G59" s="16" t="inlineStr">
        <is>
          <t>Match-tolerance configuration change restricted to 'creditors' permission.</t>
        </is>
      </c>
      <c r="H59" s="17" t="inlineStr">
        <is>
          <t>Prev</t>
        </is>
      </c>
      <c r="I59" s="17" t="inlineStr">
        <is>
          <t>Automated</t>
        </is>
      </c>
      <c r="J59" s="17" t="inlineStr">
        <is>
          <t>Per change</t>
        </is>
      </c>
      <c r="K59" s="16" t="inlineStr">
        <is>
          <t>Controller</t>
        </is>
      </c>
      <c r="L59" s="17" t="inlineStr">
        <is>
          <t>P10/P11</t>
        </is>
      </c>
      <c r="M59" s="16" t="inlineStr">
        <is>
          <t>match.controller.ts (PUT tolerance @Permissions creditors)</t>
        </is>
      </c>
      <c r="N59" s="16" t="inlineStr">
        <is>
          <t>Inspect permission on tolerance change.</t>
        </is>
      </c>
      <c r="O59" s="16" t="inlineStr">
        <is>
          <t>Attempt change w/o perm → 403; log changes.</t>
        </is>
      </c>
      <c r="P59" s="16" t="inlineStr">
        <is>
          <t>Config-change log</t>
        </is>
      </c>
      <c r="Q59" s="18" t="inlineStr">
        <is>
          <t>Implemented</t>
        </is>
      </c>
    </row>
    <row r="60">
      <c r="A60" s="11" t="inlineStr">
        <is>
          <t>EXP-05</t>
        </is>
      </c>
      <c r="B60" s="12" t="inlineStr">
        <is>
          <t>Expenditure</t>
        </is>
      </c>
      <c r="C60" s="13" t="inlineStr">
        <is>
          <t>Application</t>
        </is>
      </c>
      <c r="D60" s="12" t="inlineStr">
        <is>
          <t>Operating Expense; Accounts Payable</t>
        </is>
      </c>
      <c r="E60" s="12" t="inlineStr">
        <is>
          <t>Employee/maintenance spend recorded in GL but not as a payable (escapes AP aging; AP sub-ledger ≠ GL control).</t>
        </is>
      </c>
      <c r="F60" s="12" t="inlineStr">
        <is>
          <t>Completeness/Accuracy</t>
        </is>
      </c>
      <c r="G60" s="12" t="inlineStr">
        <is>
          <t>ESS expense approval and EAM work-order completion raise an AP payable via createApTxn (Dr 5100/5710 / Cr 2000) — not a bare GL post — so the liability appears in AP aging, settles through the AP pay flow, and keeps the AP sub-ledger ↔ GL 2000 reconciled (REC-01). Reimbursements vat-exempt; SoD approver ≠ claimant retained.</t>
        </is>
      </c>
      <c r="H60" s="13" t="inlineStr">
        <is>
          <t>Prev</t>
        </is>
      </c>
      <c r="I60" s="13" t="inlineStr">
        <is>
          <t>Automated</t>
        </is>
      </c>
      <c r="J60" s="13" t="inlineStr">
        <is>
          <t>Per claim/WO</t>
        </is>
      </c>
      <c r="K60" s="12" t="inlineStr">
        <is>
          <t>AP / Controller</t>
        </is>
      </c>
      <c r="L60" s="13" t="inlineStr">
        <is>
          <t>P10</t>
        </is>
      </c>
      <c r="M60" s="12" t="inlineStr">
        <is>
          <t>ess.service.ts (approveExpense → createApTxn); eam.service.ts (updateWorkOrderStatus → createApTxn, acct 5710); finance.service.ts (createApTxn expense_account/tenant_id); cutover/ess.ts + basics.ts (ToE)</t>
        </is>
      </c>
      <c r="N60" s="12" t="inlineStr">
        <is>
          <t>Inspect approval→AP routing + reconciliation.</t>
        </is>
      </c>
      <c r="O60" s="12" t="inlineStr">
        <is>
          <t>Approve a claim / complete a WO → AP payable raised, paid via AP, sub-ledger ties to GL 2000 (re-performed by the harness).</t>
        </is>
      </c>
      <c r="P60" s="12" t="inlineStr">
        <is>
          <t>AP sub-ledger; reimbursement/maintenance payables</t>
        </is>
      </c>
      <c r="Q60" s="18" t="inlineStr">
        <is>
          <t>Implemented</t>
        </is>
      </c>
    </row>
    <row r="61">
      <c r="A61" s="15" t="inlineStr">
        <is>
          <t>EXP-06</t>
        </is>
      </c>
      <c r="B61" s="16" t="inlineStr">
        <is>
          <t>Expenditure</t>
        </is>
      </c>
      <c r="C61" s="17" t="inlineStr">
        <is>
          <t>Application</t>
        </is>
      </c>
      <c r="D61" s="16" t="inlineStr">
        <is>
          <t>Accounts Payable; Cash</t>
        </is>
      </c>
      <c r="E61" s="16" t="inlineStr">
        <is>
          <t>Vendor payment disbursed without independent approval — one person both books and pays a bill.</t>
        </is>
      </c>
      <c r="F61" s="16" t="inlineStr">
        <is>
          <t>Authorization</t>
        </is>
      </c>
      <c r="G61" s="16" t="inlineStr">
        <is>
          <t>AP disbursement maker-checker — a payment is REQUESTED by a 'creditors' holder and APPROVED by a DIFFERENT user (approvals/gl_close); the bill's paid_amount and the cash-disbursement GL move only on approval. Booking a bill pre-paid in one call is blocked.</t>
        </is>
      </c>
      <c r="H61" s="17" t="inlineStr">
        <is>
          <t>Prev</t>
        </is>
      </c>
      <c r="I61" s="17" t="inlineStr">
        <is>
          <t>Auto+Manual</t>
        </is>
      </c>
      <c r="J61" s="17" t="inlineStr">
        <is>
          <t>Per payment</t>
        </is>
      </c>
      <c r="K61" s="16" t="inlineStr">
        <is>
          <t>AP / Controller</t>
        </is>
      </c>
      <c r="L61" s="17" t="inlineStr">
        <is>
          <t>P10</t>
        </is>
      </c>
      <c r="M61" s="16" t="inlineStr">
        <is>
          <t>finance.service.ts (requestApPayment / approveApPayment requester≠approver / rejectApPayment); finance.controller.ts (creditors requests, approvals|gl_close approves); schema/finance.ts (ap_payments) + migration 0115; cutover/compliance.ts (ToE)</t>
        </is>
      </c>
      <c r="N61" s="16" t="inlineStr">
        <is>
          <t>Inspect AP payment approval routing + SoD guard.</t>
        </is>
      </c>
      <c r="O61" s="16" t="inlineStr">
        <is>
          <t>Sample payments: approver ≠ requester; no cash/GL effect until approved; self-approval → 403 SOD_VIOLATION; pre-paid creation → 400 (re-performed by the harness).</t>
        </is>
      </c>
      <c r="P61" s="16" t="inlineStr">
        <is>
          <t>AP payment approvals</t>
        </is>
      </c>
      <c r="Q61" s="18" t="inlineStr">
        <is>
          <t>Implemented</t>
        </is>
      </c>
    </row>
    <row r="62">
      <c r="A62" s="11" t="inlineStr">
        <is>
          <t>FA-06</t>
        </is>
      </c>
      <c r="B62" s="12" t="inlineStr">
        <is>
          <t>Fixed Assets</t>
        </is>
      </c>
      <c r="C62" s="13" t="inlineStr">
        <is>
          <t>Application</t>
        </is>
      </c>
      <c r="D62" s="12" t="inlineStr">
        <is>
          <t>Property, Plant &amp; Equipment</t>
        </is>
      </c>
      <c r="E62" s="12" t="inlineStr">
        <is>
          <t>Equipment not maintained; maintenance uncontrolled; preventive maintenance missed; maintenance cost mis-stated or not tracked per asset.</t>
        </is>
      </c>
      <c r="F62" s="12" t="inlineStr">
        <is>
          <t>Existence/Valuation</t>
        </is>
      </c>
      <c r="G62" s="12" t="inlineStr">
        <is>
          <t>EAM maintenance work orders against the asset register with a guarded lifecycle (open→in_progress→completed/cancelled; BAD_TRANSITION); preventive-maintenance schedules (time/meter) with an idempotent due-generation sweep (cron / daily scheduled job eam_pm_generate). Work-order labor/parts cost lines roll up to the WO actual cost (so the AP posting reflects real spend, not the estimate); per-asset reliability &amp; cost KPIs (corrective failures, MTBF, downtime, total maintenance spend) support maintenance budgeting and repair-vs-replace decisions.</t>
        </is>
      </c>
      <c r="H62" s="13" t="inlineStr">
        <is>
          <t>Det</t>
        </is>
      </c>
      <c r="I62" s="13" t="inlineStr">
        <is>
          <t>Automated</t>
        </is>
      </c>
      <c r="J62" s="13" t="inlineStr">
        <is>
          <t>Per WO / per sweep</t>
        </is>
      </c>
      <c r="K62" s="12" t="inlineStr">
        <is>
          <t>Maintenance / FaAccountant</t>
        </is>
      </c>
      <c r="L62" s="13" t="inlineStr">
        <is>
          <t>P13/P16</t>
        </is>
      </c>
      <c r="M62" s="12" t="inlineStr">
        <is>
          <t>eam.service.ts (work orders, PM schedules, runPmDue, meters, WO cost lines, reliability); eam.controller.ts; bi.service.ts (eam_pm_generate); cutover/basics.ts (ToE)</t>
        </is>
      </c>
      <c r="N62" s="12" t="inlineStr">
        <is>
          <t>Inspect WO lifecycle guard + PM due logic; inspect cost-line roll-up into actual cost and reliability KPI computation.</t>
        </is>
      </c>
      <c r="O62" s="12" t="inlineStr">
        <is>
          <t>Raise/complete a WO; PM sweep raises due preventive WOs (time + meter) and is idempotent; cost lines roll up to actual cost and drive the AP posting; reliability KPIs computed (re-performed by the harness).</t>
        </is>
      </c>
      <c r="P62" s="12" t="inlineStr">
        <is>
          <t>Work-order log; PM schedule + sweep run log; WO cost lines; reliability KPI report</t>
        </is>
      </c>
      <c r="Q62" s="18" t="inlineStr">
        <is>
          <t>Implemented</t>
        </is>
      </c>
    </row>
    <row r="63">
      <c r="A63" s="15" t="inlineStr">
        <is>
          <t>INV-01</t>
        </is>
      </c>
      <c r="B63" s="16" t="inlineStr">
        <is>
          <t>Inventory &amp; COGS</t>
        </is>
      </c>
      <c r="C63" s="17" t="inlineStr">
        <is>
          <t>Application</t>
        </is>
      </c>
      <c r="D63" s="16" t="inlineStr">
        <is>
          <t>Inventory; COGS</t>
        </is>
      </c>
      <c r="E63" s="16" t="inlineStr">
        <is>
          <t>Two terminals sell last unit → negative/oversold stock.</t>
        </is>
      </c>
      <c r="F63" s="16" t="inlineStr">
        <is>
          <t>Existence/Valuation</t>
        </is>
      </c>
      <c r="G63" s="16" t="inlineStr">
        <is>
          <t>Bin-stock decrement under FOR UPDATE inside a transaction — concurrent picks serialize (no oversell).</t>
        </is>
      </c>
      <c r="H63" s="17" t="inlineStr">
        <is>
          <t>Prev</t>
        </is>
      </c>
      <c r="I63" s="17" t="inlineStr">
        <is>
          <t>Automated</t>
        </is>
      </c>
      <c r="J63" s="17" t="inlineStr">
        <is>
          <t>Per txn</t>
        </is>
      </c>
      <c r="K63" s="16" t="inlineStr">
        <is>
          <t>Eng Lead / Warehouse</t>
        </is>
      </c>
      <c r="L63" s="17" t="inlineStr">
        <is>
          <t>P10</t>
        </is>
      </c>
      <c r="M63" s="16" t="inlineStr">
        <is>
          <t>wms.service.ts (pick)</t>
        </is>
      </c>
      <c r="N63" s="16" t="inlineStr">
        <is>
          <t>Inspect lock + sufficiency check in tx.</t>
        </is>
      </c>
      <c r="O63" s="16" t="inlineStr">
        <is>
          <t>Concurrent last-unit test → one PICK_SHORT.</t>
        </is>
      </c>
      <c r="P63" s="16" t="inlineStr">
        <is>
          <t>Concurrency test</t>
        </is>
      </c>
      <c r="Q63" s="18" t="inlineStr">
        <is>
          <t>Implemented</t>
        </is>
      </c>
    </row>
    <row r="64">
      <c r="A64" s="11" t="inlineStr">
        <is>
          <t>INV-02</t>
        </is>
      </c>
      <c r="B64" s="12" t="inlineStr">
        <is>
          <t>Inventory &amp; COGS</t>
        </is>
      </c>
      <c r="C64" s="13" t="inlineStr">
        <is>
          <t>Application</t>
        </is>
      </c>
      <c r="D64" s="12" t="inlineStr">
        <is>
          <t>Inventory</t>
        </is>
      </c>
      <c r="E64" s="12" t="inlineStr">
        <is>
          <t>Stock movements not recorded (completeness of perpetual stock).</t>
        </is>
      </c>
      <c r="F64" s="12" t="inlineStr">
        <is>
          <t>Completeness</t>
        </is>
      </c>
      <c r="G64" s="12" t="inlineStr">
        <is>
          <t>Perpetual stock-movement + lot ledger logging on every issue/receipt/return.</t>
        </is>
      </c>
      <c r="H64" s="13" t="inlineStr">
        <is>
          <t>Det</t>
        </is>
      </c>
      <c r="I64" s="13" t="inlineStr">
        <is>
          <t>Automated</t>
        </is>
      </c>
      <c r="J64" s="13" t="inlineStr">
        <is>
          <t>Per txn</t>
        </is>
      </c>
      <c r="K64" s="12" t="inlineStr">
        <is>
          <t>Warehouse</t>
        </is>
      </c>
      <c r="L64" s="13" t="inlineStr">
        <is>
          <t>P13</t>
        </is>
      </c>
      <c r="M64" s="12" t="inlineStr">
        <is>
          <t>stock-ops; custStockLog; lotLedger</t>
        </is>
      </c>
      <c r="N64" s="12" t="inlineStr">
        <is>
          <t>Inspect movement logging.</t>
        </is>
      </c>
      <c r="O64" s="12" t="inlineStr">
        <is>
          <t>Tie sample movements to balances.</t>
        </is>
      </c>
      <c r="P64" s="12" t="inlineStr">
        <is>
          <t>Stock ledger</t>
        </is>
      </c>
      <c r="Q64" s="18" t="inlineStr">
        <is>
          <t>Implemented</t>
        </is>
      </c>
    </row>
    <row r="65">
      <c r="A65" s="15" t="inlineStr">
        <is>
          <t>INV-03</t>
        </is>
      </c>
      <c r="B65" s="16" t="inlineStr">
        <is>
          <t>Inventory &amp; COGS</t>
        </is>
      </c>
      <c r="C65" s="17" t="inlineStr">
        <is>
          <t>Application</t>
        </is>
      </c>
      <c r="D65" s="16" t="inlineStr">
        <is>
          <t>COGS</t>
        </is>
      </c>
      <c r="E65" s="16" t="inlineStr">
        <is>
          <t>COGS misstated; consumption not costed.</t>
        </is>
      </c>
      <c r="F65" s="16" t="inlineStr">
        <is>
          <t>Accuracy</t>
        </is>
      </c>
      <c r="G65" s="16" t="inlineStr">
        <is>
          <t>Inventory costing → COGS posting on consumption; recipe/BOM deduction + reversal on return.</t>
        </is>
      </c>
      <c r="H65" s="17" t="inlineStr">
        <is>
          <t>Auto</t>
        </is>
      </c>
      <c r="I65" s="17" t="inlineStr">
        <is>
          <t>Automated</t>
        </is>
      </c>
      <c r="J65" s="17" t="inlineStr">
        <is>
          <t>Per txn</t>
        </is>
      </c>
      <c r="K65" s="16" t="inlineStr">
        <is>
          <t>Controller</t>
        </is>
      </c>
      <c r="L65" s="17" t="inlineStr">
        <is>
          <t>P10</t>
        </is>
      </c>
      <c r="M65" s="16" t="inlineStr">
        <is>
          <t>costing; menu/recipe.service.ts</t>
        </is>
      </c>
      <c r="N65" s="16" t="inlineStr">
        <is>
          <t>Walkthrough consumption → COGS JE.</t>
        </is>
      </c>
      <c r="O65" s="16" t="inlineStr">
        <is>
          <t>Tie sample consumption to COGS.</t>
        </is>
      </c>
      <c r="P65" s="16" t="inlineStr">
        <is>
          <t>COGS tie-out</t>
        </is>
      </c>
      <c r="Q65" s="18" t="inlineStr">
        <is>
          <t>Implemented</t>
        </is>
      </c>
    </row>
    <row r="66">
      <c r="A66" s="11" t="inlineStr">
        <is>
          <t>INV-04</t>
        </is>
      </c>
      <c r="B66" s="12" t="inlineStr">
        <is>
          <t>Inventory &amp; COGS</t>
        </is>
      </c>
      <c r="C66" s="13" t="inlineStr">
        <is>
          <t>Application</t>
        </is>
      </c>
      <c r="D66" s="12" t="inlineStr">
        <is>
          <t>Inventory</t>
        </is>
      </c>
      <c r="E66" s="12" t="inlineStr">
        <is>
          <t>Book vs physical stock diverges; no count control.</t>
        </is>
      </c>
      <c r="F66" s="12" t="inlineStr">
        <is>
          <t>Existence</t>
        </is>
      </c>
      <c r="G66" s="12" t="inlineStr">
        <is>
          <t>Periodic stocktake / cycle count; variance posted with review &amp; approval.</t>
        </is>
      </c>
      <c r="H66" s="13" t="inlineStr">
        <is>
          <t>Det</t>
        </is>
      </c>
      <c r="I66" s="13" t="inlineStr">
        <is>
          <t>Auto+Manual</t>
        </is>
      </c>
      <c r="J66" s="13" t="inlineStr">
        <is>
          <t>Periodic</t>
        </is>
      </c>
      <c r="K66" s="12" t="inlineStr">
        <is>
          <t>Warehouse Mgr</t>
        </is>
      </c>
      <c r="L66" s="13" t="inlineStr">
        <is>
          <t>P16</t>
        </is>
      </c>
      <c r="M66" s="12" t="inlineStr">
        <is>
          <t>stocktake (web); stock-ops</t>
        </is>
      </c>
      <c r="N66" s="12" t="inlineStr">
        <is>
          <t>Inspect count + variance process.</t>
        </is>
      </c>
      <c r="O66" s="12" t="inlineStr">
        <is>
          <t>Sample counts: variance reviewed &amp; approved.</t>
        </is>
      </c>
      <c r="P66" s="12" t="inlineStr">
        <is>
          <t>Count sheets</t>
        </is>
      </c>
      <c r="Q66" s="19" t="inlineStr">
        <is>
          <t>Partial</t>
        </is>
      </c>
    </row>
    <row r="67">
      <c r="A67" s="15" t="inlineStr">
        <is>
          <t>INV-05</t>
        </is>
      </c>
      <c r="B67" s="16" t="inlineStr">
        <is>
          <t>Inventory &amp; COGS</t>
        </is>
      </c>
      <c r="C67" s="17" t="inlineStr">
        <is>
          <t>Application</t>
        </is>
      </c>
      <c r="D67" s="16" t="inlineStr">
        <is>
          <t>Inventory</t>
        </is>
      </c>
      <c r="E67" s="16" t="inlineStr">
        <is>
          <t>A branch stock-out is fulfilled by BUYING new stock while a sibling branch holds idle surplus (capital tied up / over-ordering); or stock is moved between branches without attribution or segregation of duties.</t>
        </is>
      </c>
      <c r="F67" s="16" t="inlineStr">
        <is>
          <t>Existence/Accuracy/Authorization</t>
        </is>
      </c>
      <c r="G67" s="16" t="inlineStr">
        <is>
          <t>Branch-aware replenishment routes transfer-before-buy: a low (branch,item) is first covered by an inter-branch TRANSFER from a sibling branch with surplus (tenant-scoped branch_stock move + branch-attributed cust_stock_log, executed under the warehouse-custody duty), and only the residual the transfers cannot cover raises a purchase requisition through the maker-checker buy flow (EXP-03). Transfer execution (wh_custody) is segregated from PR/PO approval (procurement / approvals).</t>
        </is>
      </c>
      <c r="H67" s="17" t="inlineStr">
        <is>
          <t>Prev/Det</t>
        </is>
      </c>
      <c r="I67" s="17" t="inlineStr">
        <is>
          <t>Auto+Manual</t>
        </is>
      </c>
      <c r="J67" s="17" t="inlineStr">
        <is>
          <t>Per replenishment run</t>
        </is>
      </c>
      <c r="K67" s="16" t="inlineStr">
        <is>
          <t>Planner / Warehouse / Procurement</t>
        </is>
      </c>
      <c r="L67" s="17" t="inlineStr">
        <is>
          <t>P10/P13</t>
        </is>
      </c>
      <c r="M67" s="16" t="inlineStr">
        <is>
          <t>wms/replenishment.service.ts (suggest transfer/buy split, autoTransfer, autoPr); wms.controller.ts (auto-transfer @wh_custody vs auto-pr @procurement); schema branch_stock + item_supplier + migration 0130; cutover/wms.ts (ToE)</t>
        </is>
      </c>
      <c r="N67" s="16" t="inlineStr">
        <is>
          <t>Inspect transfer-before-buy allocation, branch attribution, and leg segregation.</t>
        </is>
      </c>
      <c r="O67" s="16" t="inlineStr">
        <is>
          <t>Deplete branch A below its reorder point with surplus at branch B -&gt; suggest splits into a transfer (from B) + a buy (residual); auto-transfer moves branch_stock and logs both branches; auto-PR raises a PR for the residual; branch_stock reconciles (re-performed by the harness).</t>
        </is>
      </c>
      <c r="P67" s="16" t="inlineStr">
        <is>
          <t>Branch replenishment run log; inter-branch transfer log; residual PR</t>
        </is>
      </c>
      <c r="Q67" s="18" t="inlineStr">
        <is>
          <t>Implemented</t>
        </is>
      </c>
    </row>
    <row r="68">
      <c r="A68" s="11" t="inlineStr">
        <is>
          <t>INV-06</t>
        </is>
      </c>
      <c r="B68" s="12" t="inlineStr">
        <is>
          <t>Inventory &amp; COGS</t>
        </is>
      </c>
      <c r="C68" s="13" t="inlineStr">
        <is>
          <t>Application</t>
        </is>
      </c>
      <c r="D68" s="12" t="inlineStr">
        <is>
          <t>Inventory; COGS</t>
        </is>
      </c>
      <c r="E68" s="12" t="inlineStr">
        <is>
          <t>Perpetual stock VALUE drifts from the GL inventory control account; receipts/issues/adjustments uncosted or not posted to GL → inventory &amp; COGS misstated.</t>
        </is>
      </c>
      <c r="F68" s="12" t="inlineStr">
        <is>
          <t>Existence/Valuation/Completeness</t>
        </is>
      </c>
      <c r="G68" s="12" t="inlineStr">
        <is>
          <t>Perpetual valued sub-ledger (inv_moves / inv_balances): every receipt/issue/adjustment updates the item's cost (moving-average, or FIFO/FEFO cost layers in inv_cost_layers) AND posts a balanced JE (Dr/Cr 1200 Inventory ↔ 2000 AP / 5000 COGS / 5810 variance). Reconciliation ties sub-ledger value to GL 1200; posting is idempotent on ref (no double-count); negative stock is blocked. FEFO consumes soonest-expiry layers first (perishable waste control). The sub-ledger and the costing module (FIFO/AVG/STD) are mutually exclusive per item (CONFLICTING_COSTING guard on both sides) so inventory is never double-capitalized to 1200.</t>
        </is>
      </c>
      <c r="H68" s="13" t="inlineStr">
        <is>
          <t>Prev+Det</t>
        </is>
      </c>
      <c r="I68" s="13" t="inlineStr">
        <is>
          <t>Automated</t>
        </is>
      </c>
      <c r="J68" s="13" t="inlineStr">
        <is>
          <t>Per txn</t>
        </is>
      </c>
      <c r="K68" s="12" t="inlineStr">
        <is>
          <t>Controller / Warehouse</t>
        </is>
      </c>
      <c r="L68" s="13" t="inlineStr">
        <is>
          <t>P10</t>
        </is>
      </c>
      <c r="M68" s="12" t="inlineStr">
        <is>
          <t>inventory-ledger.service.ts; stock-ops.service.ts (bridge); 0131 inv_moves/inv_balances; 0132 inv_cost_layers (FIFO/FEFO); ledger.postEntry</t>
        </is>
      </c>
      <c r="N68" s="12" t="inlineStr">
        <is>
          <t>Walkthrough receipt→issue→adjust + a stock-ops issue/transfer/stocktake on a tracked item, in both moving-avg and FEFO: inspect cost recompute / layer consumption, the balanced JE, and reconcile().</t>
        </is>
      </c>
      <c r="O68" s="12" t="inlineStr">
        <is>
          <t>Sample receipt/issue/adjust + stock-ops moves → sub-ledger value ties to GL 1200 (reconciled); FEFO COGS = actual layer cost; over-issue blocked; duplicate ref deduped.</t>
        </is>
      </c>
      <c r="P68" s="12" t="inlineStr">
        <is>
          <t>Reconciliation report; layers report; basics + compliance + stock-ops harness</t>
        </is>
      </c>
      <c r="Q68" s="18" t="inlineStr">
        <is>
          <t>Implemented</t>
        </is>
      </c>
    </row>
    <row r="69">
      <c r="A69" s="15" t="inlineStr">
        <is>
          <t>INV-07</t>
        </is>
      </c>
      <c r="B69" s="16" t="inlineStr">
        <is>
          <t>Inventory &amp; COGS</t>
        </is>
      </c>
      <c r="C69" s="17" t="inlineStr">
        <is>
          <t>Application</t>
        </is>
      </c>
      <c r="D69" s="16" t="inlineStr">
        <is>
          <t>Inventory; COGS</t>
        </is>
      </c>
      <c r="E69" s="16" t="inlineStr">
        <is>
          <t>Stock written off the books without independent review — one person posts a shrinkage/spoilage write-off to conceal a shortage they caused (theft of inventory).</t>
        </is>
      </c>
      <c r="F69" s="16" t="inlineStr">
        <is>
          <t>Authorization</t>
        </is>
      </c>
      <c r="G69" s="16" t="inlineStr">
        <is>
          <t>Inventory write-off maker-checker (SoD): a NEGATIVE ad-hoc stock adjustment (a write-off) on POST /api/inventory/adjustments is a REQUEST that posts NOTHING — no variance JE, no FIFO/FEFO layer consumption, no balance change — until a DIFFERENT wh_adjust holder approves (POST /api/inventory/writeoffs/:id/approve). On approval the real valued adjustment runs atomically against current state (Dr 5810 / Cr 1200). Self-approval → SOD_VIOLATION (binds even Admin); one write-off pending per item/location; reject leaves stock untouched. A positive adjustment (overage/found) and a stocktake count-variance (the count is itself the authorizing document) post immediately and are out of scope.</t>
        </is>
      </c>
      <c r="H69" s="17" t="inlineStr">
        <is>
          <t>Prev</t>
        </is>
      </c>
      <c r="I69" s="17" t="inlineStr">
        <is>
          <t>Automated</t>
        </is>
      </c>
      <c r="J69" s="17" t="inlineStr">
        <is>
          <t>Per write-off</t>
        </is>
      </c>
      <c r="K69" s="16" t="inlineStr">
        <is>
          <t>Warehouse / Controller</t>
        </is>
      </c>
      <c r="L69" s="17" t="inlineStr">
        <is>
          <t>P10</t>
        </is>
      </c>
      <c r="M69" s="16" t="inlineStr">
        <is>
          <t>inventory-ledger.service.ts requestWriteOff/approveWriteOff/rejectWriteOff/listWriteOffs; inventory-ledger.controller.ts (writeoffs/:id/approve|reject, wh_adjust); schema/inventory.ts inv_writeoff_requests + migration 0136; cutover/basics.ts + compliance.ts (ToE)</t>
        </is>
      </c>
      <c r="N69" s="16" t="inlineStr">
        <is>
          <t>Inspect the request→approve flow + the approver≠requester check + that the request posts nothing until approval.</t>
        </is>
      </c>
      <c r="O69" s="16" t="inlineStr">
        <is>
          <t>Re-perform: request a write-off (on-hand unchanged), attempt self-approve (SOD_VIOLATION), approve as a different user; confirm the variance JE + balance move only after approval (re-performed by the harnesses).</t>
        </is>
      </c>
      <c r="P69" s="16" t="inlineStr">
        <is>
          <t>Write-off request register + SoD test</t>
        </is>
      </c>
      <c r="Q69" s="18" t="inlineStr">
        <is>
          <t>Implemented</t>
        </is>
      </c>
    </row>
    <row r="70">
      <c r="A70" s="11" t="inlineStr">
        <is>
          <t>INV-08</t>
        </is>
      </c>
      <c r="B70" s="12" t="inlineStr">
        <is>
          <t>Inventory &amp; COGS</t>
        </is>
      </c>
      <c r="C70" s="13" t="inlineStr">
        <is>
          <t>Application</t>
        </is>
      </c>
      <c r="D70" s="12" t="inlineStr">
        <is>
          <t>Inventory</t>
        </is>
      </c>
      <c r="E70" s="12" t="inlineStr">
        <is>
          <t>Stock mis-located or stored beyond a bin's physical capacity — overflow held in an unrecorded location, breaking the perpetual location records and concealing where inventory physically is (loss / shrink risk; inaccurate pick paths).</t>
        </is>
      </c>
      <c r="F70" s="12" t="inlineStr">
        <is>
          <t>Completeness; Accuracy</t>
        </is>
      </c>
      <c r="G70" s="12" t="inlineStr">
        <is>
          <t>Bin-capacity / location integrity: every storage bin carries a physical position + size + capacity, and putaway (POST /api/wms/putaway) enforces it — a receipt that would fill a bin past its defined capacity is rejected (422 BIN_CAPACITY_EXCEEDED) and no bin_stock moves. Bins without a capacity are unconstrained (back-compat). The warehouse layout (GET /api/wms/layout) reports live utilisation (on-hand ÷ capacity) and flags over-capacity bins; GET /api/wms/locate gives the exact bin(s) holding any item for spatial control.</t>
        </is>
      </c>
      <c r="H70" s="13" t="inlineStr">
        <is>
          <t>Prev</t>
        </is>
      </c>
      <c r="I70" s="13" t="inlineStr">
        <is>
          <t>Automated</t>
        </is>
      </c>
      <c r="J70" s="13" t="inlineStr">
        <is>
          <t>Per putaway</t>
        </is>
      </c>
      <c r="K70" s="12" t="inlineStr">
        <is>
          <t>Warehouse</t>
        </is>
      </c>
      <c r="L70" s="13" t="inlineStr">
        <is>
          <t>P10</t>
        </is>
      </c>
      <c r="M70" s="12" t="inlineStr">
        <is>
          <t>wms.service.ts putaway (capacity guard) / warehouseLayout / locateItem / setBinLayout; wms.controller.ts (layout, locate, bins/:code/layout); schema/wms.ts bins.pos_*/dim_*/capacity + migration 0138; cutover/wms.ts (ToE)</t>
        </is>
      </c>
      <c r="N70" s="12" t="inlineStr">
        <is>
          <t>Inspect the putaway capacity guard + the layout utilisation/locate read model.</t>
        </is>
      </c>
      <c r="O70" s="12" t="inlineStr">
        <is>
          <t>Re-perform: set a bin capacity, putaway within capacity (accepted), putaway beyond it (422 BIN_CAPACITY_EXCEEDED, stock unchanged); confirm layout reports utilisation and locate finds the item (re-performed by the wms harness).</t>
        </is>
      </c>
      <c r="P70" s="12" t="inlineStr">
        <is>
          <t>Bin capacity test + layout/locate read</t>
        </is>
      </c>
      <c r="Q70" s="18" t="inlineStr">
        <is>
          <t>Implemented</t>
        </is>
      </c>
    </row>
    <row r="71">
      <c r="A71" s="15" t="inlineStr">
        <is>
          <t>INV-09</t>
        </is>
      </c>
      <c r="B71" s="16" t="inlineStr">
        <is>
          <t>Inventory &amp; COGS</t>
        </is>
      </c>
      <c r="C71" s="17" t="inlineStr">
        <is>
          <t>Application</t>
        </is>
      </c>
      <c r="D71" s="16" t="inlineStr">
        <is>
          <t>Inventory</t>
        </is>
      </c>
      <c r="E71" s="16" t="inlineStr">
        <is>
          <t>Available-to-promise mis-stated by leaked stock reservations — allocations that are never released or consumed accumulate so ATP drifts permanently low (false stock-outs), or a reservation oversells stock it never had.</t>
        </is>
      </c>
      <c r="F71" s="16" t="inlineStr">
        <is>
          <t>Accuracy; Completeness</t>
        </is>
      </c>
      <c r="G71" s="16" t="inlineStr">
        <is>
          <t>ATP reservation integrity: stock reservations carry a lifecycle Open -&gt; Fulfilled (goods shipped/issued) | Cancelled (order released), and ATP nets only OPEN reservations. allocate() is idempotent per (tenant, ref_doc, item) -- re-reserving the same document adjusts the one open row rather than stacking duplicates (a retried order cannot leak the float) -- and the additional reservation may not exceed current ATP (INSUFFICIENT_ATP), so a reservation can never oversell. release() frees a cancelled order's reservation back to ATP; fulfill() retires a shipped reservation from the open pool (the on-hand reduction is posted by the issue path, so the swap is ATP-neutral and never double-counted). A register exposes every reservation for review.</t>
        </is>
      </c>
      <c r="H71" s="17" t="inlineStr">
        <is>
          <t>Prev</t>
        </is>
      </c>
      <c r="I71" s="17" t="inlineStr">
        <is>
          <t>Automated</t>
        </is>
      </c>
      <c r="J71" s="17" t="inlineStr">
        <is>
          <t>Per reservation</t>
        </is>
      </c>
      <c r="K71" s="16" t="inlineStr">
        <is>
          <t>Planner / Warehouse</t>
        </is>
      </c>
      <c r="L71" s="17" t="inlineStr">
        <is>
          <t>P10</t>
        </is>
      </c>
      <c r="M71" s="16" t="inlineStr">
        <is>
          <t>costing/atp.service.ts allocate (idempotent + ATP guard) / releaseAllocation / fulfillAllocation / listAllocations / atp (nets Open only); costing.controller.ts (allocate, allocations/:ref/release|fulfill, allocations); schema/costing.ts stock_allocations.status; cutover/costing.ts (ToE)</t>
        </is>
      </c>
      <c r="N71" s="16" t="inlineStr">
        <is>
          <t>Inspect the reservation lifecycle + that ATP nets only Open + the idempotency/over-reserve guards.</t>
        </is>
      </c>
      <c r="O71" s="16" t="inlineStr">
        <is>
          <t>Re-perform: allocate (ATP drops), re-allocate same ref (idempotent -- no leak), over-reserve (422 INSUFFICIENT_ATP), release (frees ATP), fulfill + on-hand drop (ATP-neutral) (re-performed by the costing harness).</t>
        </is>
      </c>
      <c r="P71" s="16" t="inlineStr">
        <is>
          <t>Reservation register + ATP drift test</t>
        </is>
      </c>
      <c r="Q71" s="18" t="inlineStr">
        <is>
          <t>Implemented</t>
        </is>
      </c>
    </row>
    <row r="72">
      <c r="A72" s="11" t="inlineStr">
        <is>
          <t>INV-10</t>
        </is>
      </c>
      <c r="B72" s="12" t="inlineStr">
        <is>
          <t>Inventory &amp; COGS</t>
        </is>
      </c>
      <c r="C72" s="13" t="inlineStr">
        <is>
          <t>Application</t>
        </is>
      </c>
      <c r="D72" s="12" t="inlineStr">
        <is>
          <t>Inventory; Waste/scrap loss</t>
        </is>
      </c>
      <c r="E72" s="12" t="inlineStr">
        <is>
          <t>Kitchen/ingredient waste is invisible — spoilage/over-production is not captured, so food-cost loss can't be measured or controlled; OR a perpetual-tracked item is written off as 'waste' to bypass the independent write-off approval (INV-07).</t>
        </is>
      </c>
      <c r="F72" s="12" t="inlineStr">
        <is>
          <t>Completeness/Accuracy/Authorization</t>
        </is>
      </c>
      <c r="G72" s="12" t="inlineStr">
        <is>
          <t>Waste / spoilage logging with a write-off boundary: POST /api/inventory/waste records reason-coded ingredient waste (damage/expiry/spoilage/overproduction/prep_error/other), decrements the ingredient stock (customer_inventory + cust_stock_log) and, when a unit cost is supplied, posts Dr 5810 Scrap/Waste Loss / Cr 1200 Inventory (idempotent per WASTE- doc — mirrors recipe COGS, which credits 1200 on consumption). A by-reason analytics view (total cost, cost per reason) is the food-cost lever. **Boundary control:** a PERPETUAL-tracked item (an inv_balances row) is REJECTED here (USE_WRITEOFF) and must go through the INV-07 maker-checker write-off — so no one can dodge the independent write-off approval by mislabelling shrinkage as 'waste', and inventory value is never decremented twice.</t>
        </is>
      </c>
      <c r="H72" s="13" t="inlineStr">
        <is>
          <t>Det/Prev</t>
        </is>
      </c>
      <c r="I72" s="13" t="inlineStr">
        <is>
          <t>Automated</t>
        </is>
      </c>
      <c r="J72" s="13" t="inlineStr">
        <is>
          <t>Per waste event</t>
        </is>
      </c>
      <c r="K72" s="12" t="inlineStr">
        <is>
          <t>Kitchen / Warehouse / Controller</t>
        </is>
      </c>
      <c r="L72" s="13" t="inlineStr">
        <is>
          <t>P10/P13</t>
        </is>
      </c>
      <c r="M72" s="12" t="inlineStr">
        <is>
          <t>inventory/waste.service.ts logWaste (perpetual-item guard, GL 5810/1200, stock decrement) + list (by-reason analytics); waste.controller.ts (/api/inventory/waste, warehouse/pos/order_mgt); schema/portal.ts waste_log + migration 0149; cutover/waste.ts (ToE)</t>
        </is>
      </c>
      <c r="N72" s="12" t="inlineStr">
        <is>
          <t>Inspect the reason-coded capture + the 5810/1200 GL on costed waste + the perpetual-item USE_WRITEOFF boundary + the by-reason analytics.</t>
        </is>
      </c>
      <c r="O72" s="12" t="inlineStr">
        <is>
          <t>Re-perform: costed waste posts Dr 5810 / Cr 1200 + decrements stock; uncosted waste logs with no GL; a perpetual-tracked item is rejected (USE_WRITEOFF); by-reason totals reconcile; trial balance balanced (re-performed by the waste harness).</t>
        </is>
      </c>
      <c r="P72" s="12" t="inlineStr">
        <is>
          <t>Waste log + by-reason food-cost analytics</t>
        </is>
      </c>
      <c r="Q72" s="18" t="inlineStr">
        <is>
          <t>Implemented</t>
        </is>
      </c>
    </row>
    <row r="73">
      <c r="A73" s="15" t="inlineStr">
        <is>
          <t>INV-11</t>
        </is>
      </c>
      <c r="B73" s="16" t="inlineStr">
        <is>
          <t>Inventory &amp; COGS</t>
        </is>
      </c>
      <c r="C73" s="17" t="inlineStr">
        <is>
          <t>Application</t>
        </is>
      </c>
      <c r="D73" s="16" t="inlineStr">
        <is>
          <t>Inventory; COGS</t>
        </is>
      </c>
      <c r="E73" s="16" t="inlineStr">
        <is>
          <t>Theoretical-vs-actual food-cost variance is a single undifferentiated number — a manager sees that COGS ran over the recipe but not WHY or WHERE, so the over-usage can't be acted on (over-portioning vs spoilage vs theft go unaddressed and recur).</t>
        </is>
      </c>
      <c r="F73" s="16" t="inlineStr">
        <is>
          <t>Accuracy/Completeness</t>
        </is>
      </c>
      <c r="G73" s="16" t="inlineStr">
        <is>
          <t>Reason-coded food-cost variance review: each EOD-count variance (cust_variance — theoretical vs actual ingredient use, valued at cost) is tagged with a normalized reason_code (WASTE/OVERSTOCK/SPOILAGE/PORTIONING/THEFT/OTHER, enum-validated at POST /api/portal/variance) and an optional station. GET /api/menu/food-cost/variance values the variance at ingredient cost and rolls it up three ways — per ingredient (with High/Medium anomaly bands), by_reason and by_station — netting unfavourable/favourable, so 'Sauce station is 8% over theoretical (portioning) → retrain' is actionable. Yield/waste factors on the recipe BoM (INV-03) feed the theoretical baseline so the variance isn't inflated by un-costed trim loss. Tenant-scoped (RLS); read gated by exec/order_mgt.</t>
        </is>
      </c>
      <c r="H73" s="17" t="inlineStr">
        <is>
          <t>Det</t>
        </is>
      </c>
      <c r="I73" s="17" t="inlineStr">
        <is>
          <t>Auto+Manual</t>
        </is>
      </c>
      <c r="J73" s="17" t="inlineStr">
        <is>
          <t>Per EOD count / weekly review</t>
        </is>
      </c>
      <c r="K73" s="16" t="inlineStr">
        <is>
          <t>F&amp;B Controller / Kitchen Mgr</t>
        </is>
      </c>
      <c r="L73" s="17" t="inlineStr">
        <is>
          <t>P10/P13</t>
        </is>
      </c>
      <c r="M73" s="16" t="inlineStr">
        <is>
          <t>menu/food-cost.service.ts foodCostVariance (per-item + by_reason + by_station roll-ups, anomaly bands); portal.service.ts createVariance (persists reason_code/station); portal.controller.ts VarianceBody (reason_code enum); schema/bom.ts cust_variance.reason_code/station + migration 0161; /food-cost variance tab (by-reason/by-station tables); cutover/restaurant.ts (ToE)</t>
        </is>
      </c>
      <c r="N73" s="16" t="inlineStr">
        <is>
          <t>Inspect the reason_code enum capture, the valued by_reason/by_station roll-ups, the anomaly bands, and tenant isolation.</t>
        </is>
      </c>
      <c r="O73" s="16" t="inlineStr">
        <is>
          <t>Re-perform: seed counts with reason/station; the variance values per ingredient (NOODLE +฿30 High), nets +30/−50 to −20, by_reason PORTIONING +30 / WASTE −50, by_station Sauce +30 (20%); another tenant's counts are excluded (re-performed by the restaurant harness).</t>
        </is>
      </c>
      <c r="P73" s="16" t="inlineStr">
        <is>
          <t>Reason-coded variance roll-up + by-station test</t>
        </is>
      </c>
      <c r="Q73" s="18" t="inlineStr">
        <is>
          <t>Implemented</t>
        </is>
      </c>
    </row>
    <row r="74">
      <c r="A74" s="11" t="inlineStr">
        <is>
          <t>INV-12</t>
        </is>
      </c>
      <c r="B74" s="12" t="inlineStr">
        <is>
          <t>Inventory &amp; COGS</t>
        </is>
      </c>
      <c r="C74" s="13" t="inlineStr">
        <is>
          <t>Application</t>
        </is>
      </c>
      <c r="D74" s="12" t="inlineStr">
        <is>
          <t>Inventory</t>
        </is>
      </c>
      <c r="E74" s="12" t="inlineStr">
        <is>
          <t>Per-branch reorder points are STATIC numbers — set once and never revisited — so a branch whose run-rate has grown carries too small a buffer and stocks out (lost sales), while a slow branch over-orders and ties up cash/spoils stock; neither is flagged.</t>
        </is>
      </c>
      <c r="F74" s="12" t="inlineStr">
        <is>
          <t>Accuracy/Completeness</t>
        </is>
      </c>
      <c r="G74" s="12" t="inlineStr">
        <is>
          <t>Demand-driven par-level recommendation (layered on the INV-05 branch min-max + transfer-before-buy): for each (branch,item) the system derives the average daily usage from the trailing window of branch-tagged consumption (cust_stock_log Sale/Consume) and recommends reorder_point = ceil(avg_daily x lead_time_days x safety 1.25), flagging rows whose static reorder_point is below that demand-driven buffer (under_buffered). GET /api/replenishment/par-recommendations is read-only; a planner applies a recommendation per row (POST .../apply writes the reorder_point onto branch_stock, planner duty). lead_time_days is per (branch,item) (migration 0163). Tenant-scoped (RLS); gated planner/procurement.</t>
        </is>
      </c>
      <c r="H74" s="13" t="inlineStr">
        <is>
          <t>Det</t>
        </is>
      </c>
      <c r="I74" s="13" t="inlineStr">
        <is>
          <t>Auto+Manual</t>
        </is>
      </c>
      <c r="J74" s="13" t="inlineStr">
        <is>
          <t>Periodic / per planning cycle</t>
        </is>
      </c>
      <c r="K74" s="12" t="inlineStr">
        <is>
          <t>Planner / Supply Chain</t>
        </is>
      </c>
      <c r="L74" s="13" t="inlineStr">
        <is>
          <t>P13</t>
        </is>
      </c>
      <c r="M74" s="12" t="inlineStr">
        <is>
          <t>wms/replenishment.service.ts parRecommendations (avg-daily-usage x lead x safety, under_buffered flag) + applyPar (writes reorder_point, planner); wms.controller.ts (/api/replenishment/par-recommendations[/apply]); schema/portal.ts branch_stock.lead_time_days + migration 0163; /replenishment par-recommendations section; cutover/wms.ts (ToE)</t>
        </is>
      </c>
      <c r="N74" s="12" t="inlineStr">
        <is>
          <t>Inspect the avg-daily-usage derivation from consumption logs, the lead-time x safety reorder-point formula, the under_buffered flag, and the planner-gated apply.</t>
        </is>
      </c>
      <c r="O74" s="12" t="inlineStr">
        <is>
          <t>Re-perform: seed branch consumption (10/day) at lead 3 -&gt; recommend ROP 38 (under-buffered vs static 10); apply writes 38 onto branch_stock; tenant-isolated (re-performed by the wms harness).</t>
        </is>
      </c>
      <c r="P74" s="12" t="inlineStr">
        <is>
          <t>Par recommendation list + apply test</t>
        </is>
      </c>
      <c r="Q74" s="18" t="inlineStr">
        <is>
          <t>Implemented</t>
        </is>
      </c>
    </row>
    <row r="75">
      <c r="A75" s="15" t="inlineStr">
        <is>
          <t>BRANCH-01</t>
        </is>
      </c>
      <c r="B75" s="16" t="inlineStr">
        <is>
          <t>Multi-Branch &amp; Offline POS</t>
        </is>
      </c>
      <c r="C75" s="17" t="inlineStr">
        <is>
          <t>Application</t>
        </is>
      </c>
      <c r="D75" s="16" t="inlineStr">
        <is>
          <t>Revenue</t>
        </is>
      </c>
      <c r="E75" s="16" t="inlineStr">
        <is>
          <t>A POS sale is not attributed to its originating branch, so the consolidated branch roll-up is incomplete and cannot be tied to GL revenue.</t>
        </is>
      </c>
      <c r="F75" s="16" t="inlineStr">
        <is>
          <t>Completeness</t>
        </is>
      </c>
      <c r="G75" s="16" t="inlineStr">
        <is>
          <t>Branch sale-tagging + HQ consolidation: every POS sale carries cust_pos_sales.branch_id; GET /api/branches/consolidated aggregates per branch (excluding Voided) and surfaces untagged sales as branch '(none)' — a deliberate completeness flag the controller investigates and clears before tying the consolidated total to GL revenue.</t>
        </is>
      </c>
      <c r="H75" s="17" t="inlineStr">
        <is>
          <t>Det</t>
        </is>
      </c>
      <c r="I75" s="17" t="inlineStr">
        <is>
          <t>Auto+Manual</t>
        </is>
      </c>
      <c r="J75" s="17" t="inlineStr">
        <is>
          <t>Per sale / period</t>
        </is>
      </c>
      <c r="K75" s="16" t="inlineStr">
        <is>
          <t>HQ Controller</t>
        </is>
      </c>
      <c r="L75" s="17" t="inlineStr">
        <is>
          <t>P16</t>
        </is>
      </c>
      <c r="M75" s="16" t="inlineStr">
        <is>
          <t>branches.service.ts (consolidated, branch tagging); branches.controller.ts; cust_pos_sales.branch_id; cutover/branch.ts (ToE)</t>
        </is>
      </c>
      <c r="N75" s="16" t="inlineStr">
        <is>
          <t>Inspect branch tagging completeness + the '(none)' surfacing + the GL tie.</t>
        </is>
      </c>
      <c r="O75" s="16" t="inlineStr">
        <is>
          <t>Sample period: tagged sales group by branch, an untagged sale surfaces as '(none)', consolidated total ties to posted revenue.</t>
        </is>
      </c>
      <c r="P75" s="16" t="inlineStr">
        <is>
          <t>Consolidation report; '(none)' investigation log</t>
        </is>
      </c>
      <c r="Q75" s="18" t="inlineStr">
        <is>
          <t>Implemented</t>
        </is>
      </c>
    </row>
    <row r="76">
      <c r="A76" s="11" t="inlineStr">
        <is>
          <t>BRANCH-02</t>
        </is>
      </c>
      <c r="B76" s="12" t="inlineStr">
        <is>
          <t>Multi-Branch &amp; Offline POS</t>
        </is>
      </c>
      <c r="C76" s="13" t="inlineStr">
        <is>
          <t>Application</t>
        </is>
      </c>
      <c r="D76" s="12" t="inlineStr">
        <is>
          <t>Revenue</t>
        </is>
      </c>
      <c r="E76" s="12" t="inlineStr">
        <is>
          <t>An offline terminal sells at a stale or wrong price/promotion because the cached catalog drifted from the master.</t>
        </is>
      </c>
      <c r="F76" s="12" t="inlineStr">
        <is>
          <t>Accuracy</t>
        </is>
      </c>
      <c r="G76" s="12" t="inlineStr">
        <is>
          <t>Offline master-bundle export: GET /api/branches/master-bundle returns ONLY the active price-list + active promotions, time-stamped (generated_at). The offline terminal sells from this bundle, so it cannot ring a stale/withdrawn price or promo.</t>
        </is>
      </c>
      <c r="H76" s="13" t="inlineStr">
        <is>
          <t>Prev</t>
        </is>
      </c>
      <c r="I76" s="13" t="inlineStr">
        <is>
          <t>Automated</t>
        </is>
      </c>
      <c r="J76" s="13" t="inlineStr">
        <is>
          <t>Per bundle push</t>
        </is>
      </c>
      <c r="K76" s="12" t="inlineStr">
        <is>
          <t>HQ Controller / Pricing</t>
        </is>
      </c>
      <c r="L76" s="13" t="inlineStr">
        <is>
          <t>P10</t>
        </is>
      </c>
      <c r="M76" s="12" t="inlineStr">
        <is>
          <t>branches.service.ts masterBundle (active price-list + active promos + generated_at); branches.controller.ts; cutover/branch.ts (ToE)</t>
        </is>
      </c>
      <c r="N76" s="12" t="inlineStr">
        <is>
          <t>Inspect the bundle exports only active prices/promos with a timestamp.</t>
        </is>
      </c>
      <c r="O76" s="12" t="inlineStr">
        <is>
          <t>Re-perform: export the bundle; confirm it carries only active price-list/promotions + generated_at.</t>
        </is>
      </c>
      <c r="P76" s="12" t="inlineStr">
        <is>
          <t>Bundle metadata; bundle vs price-master diff</t>
        </is>
      </c>
      <c r="Q76" s="18" t="inlineStr">
        <is>
          <t>Implemented</t>
        </is>
      </c>
    </row>
    <row r="77">
      <c r="A77" s="15" t="inlineStr">
        <is>
          <t>BRANCH-03</t>
        </is>
      </c>
      <c r="B77" s="16" t="inlineStr">
        <is>
          <t>Multi-Branch &amp; Offline POS</t>
        </is>
      </c>
      <c r="C77" s="17" t="inlineStr">
        <is>
          <t>Application</t>
        </is>
      </c>
      <c r="D77" s="16" t="inlineStr">
        <is>
          <t>Revenue; Cash</t>
        </is>
      </c>
      <c r="E77" s="16" t="inlineStr">
        <is>
          <t>An offline-captured sale is LOST or DUPLICATED when connectivity returns — revenue understated (lost) or double-counted (duplicated), and the GL double-posted.</t>
        </is>
      </c>
      <c r="F77" s="16" t="inlineStr">
        <is>
          <t>Completeness/Accuracy</t>
        </is>
      </c>
      <c r="G77" s="16" t="inlineStr">
        <is>
          <t>Offline-to-online exactly-once sync: offline-captured sales replay idempotently on (tenant, client_uuid) via the pos_offline_sync dedup ledger. Two paths share the ledger — the portal/inventory POS (POST /api/portal/pos/offline-sync, item_id lines) and the touch register (POST /api/restaurant/offline-sync, menu sku lines, re-running the restaurant order→checkout so the server re-prices + 86-checks). A re-sent batch returns 'duplicate' (no second sale/GL); a failed op is a RETRYABLE tombstone (sale_no NULL) that never blocks a later replay, so a transient error is not a lost sale; each op runs in its own savepoint so one bad sale never poisons the batch.</t>
        </is>
      </c>
      <c r="H77" s="17" t="inlineStr">
        <is>
          <t>Det/Prev</t>
        </is>
      </c>
      <c r="I77" s="17" t="inlineStr">
        <is>
          <t>Automated</t>
        </is>
      </c>
      <c r="J77" s="17" t="inlineStr">
        <is>
          <t>Per sync</t>
        </is>
      </c>
      <c r="K77" s="16" t="inlineStr">
        <is>
          <t>HQ Controller / IT</t>
        </is>
      </c>
      <c r="L77" s="17" t="inlineStr">
        <is>
          <t>P10/P16</t>
        </is>
      </c>
      <c r="M77" s="16" t="inlineStr">
        <is>
          <t>portal/offline-sync.service.ts (item_id path); restaurant/offline-sync.service.ts (register sku path, reuses dineIn create+checkout); pos_offline_sync dedup ledger; web lib/offline-pos.ts + lib/register-offline.ts; cutover/offline-sync.ts + restaurant-offline.ts (ToE) + e2e/register-offline.spec.ts</t>
        </is>
      </c>
      <c r="N77" s="16" t="inlineStr">
        <is>
          <t>Inspect the (tenant, client_uuid) dedup gate (sale_no NOT NULL), the per-op savepoint isolation, and the retryable-failure tombstone.</t>
        </is>
      </c>
      <c r="O77" s="16" t="inlineStr">
        <is>
          <t>Re-perform: sync a batch (all synced, distinct SALE-), replay it (all duplicate, no double sale/GL), a bad op fails while neighbours sync, same uuid twice in a batch posts once, a transient failure replays to synced after the cause clears (re-performed by the offline-sync + restaurant-offline harnesses).</t>
        </is>
      </c>
      <c r="P77" s="16" t="inlineStr">
        <is>
          <t>Sync recon report; terminal vs ledger counts; idempotency tests</t>
        </is>
      </c>
      <c r="Q77" s="18" t="inlineStr">
        <is>
          <t>Implemented</t>
        </is>
      </c>
    </row>
    <row r="78">
      <c r="A78" s="11" t="inlineStr">
        <is>
          <t>MFG-01</t>
        </is>
      </c>
      <c r="B78" s="12" t="inlineStr">
        <is>
          <t>Manufacturing &amp; Costing</t>
        </is>
      </c>
      <c r="C78" s="13" t="inlineStr">
        <is>
          <t>Application</t>
        </is>
      </c>
      <c r="D78" s="12" t="inlineStr">
        <is>
          <t>Inventory; COGS</t>
        </is>
      </c>
      <c r="E78" s="12" t="inlineStr">
        <is>
          <t>Unauthorized BOM/recipe change mis-states standard cost and every downstream WIP/COGS posting; or the role that maintains the recipe also transacts on it.</t>
        </is>
      </c>
      <c r="F78" s="12" t="inlineStr">
        <is>
          <t>Authorization</t>
        </is>
      </c>
      <c r="G78" s="12" t="inlineStr">
        <is>
          <t>BOM master maker-checker / SoD: the master BOM library (bom_master) is maintained + distributed by HQ separately from transacting; a tenant BOM submission is reviewed and merged by HQ on approval (a maker-checker over master data). Recipe roll-up (line cost + labor + overhead → cost per unit) is the standard-cost basis. Master-data access is segregated from production (R13).</t>
        </is>
      </c>
      <c r="H78" s="13" t="inlineStr">
        <is>
          <t>Prev</t>
        </is>
      </c>
      <c r="I78" s="13" t="inlineStr">
        <is>
          <t>Manual+Auto</t>
        </is>
      </c>
      <c r="J78" s="13" t="inlineStr">
        <is>
          <t>Per BOM change</t>
        </is>
      </c>
      <c r="K78" s="12" t="inlineStr">
        <is>
          <t>HQ MasterSteward / CostAccountant</t>
        </is>
      </c>
      <c r="L78" s="13" t="inlineStr">
        <is>
          <t>P13</t>
        </is>
      </c>
      <c r="M78" s="12" t="inlineStr">
        <is>
          <t>bom master + submissions (/api/bom/master, /api/bom/submissions, /api/portal/bom); manufacturing.service.ts BOM scaling; cutover/cpq.ts + manufacturing.ts (ToE)</t>
        </is>
      </c>
      <c r="N78" s="12" t="inlineStr">
        <is>
          <t>Inspect BOM maintenance access + the submission→approve maker-checker + the costing roll-up.</t>
        </is>
      </c>
      <c r="O78" s="12" t="inlineStr">
        <is>
          <t>Sample BOM change is HQ-approved before use; standard cost rolls up correctly.</t>
        </is>
      </c>
      <c r="P78" s="12" t="inlineStr">
        <is>
          <t>BOM approval log; costing roll-up</t>
        </is>
      </c>
      <c r="Q78" s="18" t="inlineStr">
        <is>
          <t>Implemented</t>
        </is>
      </c>
    </row>
    <row r="79">
      <c r="A79" s="15" t="inlineStr">
        <is>
          <t>MFG-02</t>
        </is>
      </c>
      <c r="B79" s="16" t="inlineStr">
        <is>
          <t>Manufacturing &amp; Costing</t>
        </is>
      </c>
      <c r="C79" s="17" t="inlineStr">
        <is>
          <t>Application</t>
        </is>
      </c>
      <c r="D79" s="16" t="inlineStr">
        <is>
          <t>WIP; Finished Goods; COGS</t>
        </is>
      </c>
      <c r="E79" s="16" t="inlineStr">
        <is>
          <t>Production cost is mis-stated: WIP not relieved, the conversion absorption left stranded, or a yield loss (spoilage/waste) silently capitalised into finished-goods inventory instead of expensed.</t>
        </is>
      </c>
      <c r="F79" s="16" t="inlineStr">
        <is>
          <t>Valuation/Completeness/Accuracy</t>
        </is>
      </c>
      <c r="G79" s="16" t="inlineStr">
        <is>
          <t>Production work-order WIP costing with a balanced JE at each step: ISSUE posts Dr 1250 WIP / Cr 1200 raw materials / Cr 2380 manufacturing-costs-applied (idempotent — re-issue is a no-op); COMPLETE posts Dr 1210 Finished Goods at the standard cost of the ACTUAL quantity produced + books the YIELD VARIANCE to 5810 (produced &lt; planned → debit 5810 loss; over-yield → credit) / Cr 1250 WIP — so WIP is always fully relieved and FG is never over-valued on a short yield. State machine Open→Released→Completed (out-of-order → BAD_STATUS). The 2380/1250 clearing balances tie out at close. Scrap/rework write-off of defective output posts to 5810 with CostAccountant authorization.</t>
        </is>
      </c>
      <c r="H79" s="17" t="inlineStr">
        <is>
          <t>Prev</t>
        </is>
      </c>
      <c r="I79" s="17" t="inlineStr">
        <is>
          <t>Automated</t>
        </is>
      </c>
      <c r="J79" s="17" t="inlineStr">
        <is>
          <t>Per work order</t>
        </is>
      </c>
      <c r="K79" s="16" t="inlineStr">
        <is>
          <t>Warehouse / CostAccountant</t>
        </is>
      </c>
      <c r="L79" s="17" t="inlineStr">
        <is>
          <t>P13</t>
        </is>
      </c>
      <c r="M79" s="16" t="inlineStr">
        <is>
          <t>manufacturing.service.ts issue/complete (yield variance to 5810; fmt exposes yield_variance); manufacturing.controller.ts (bom_master/warehouse/exec); schema/manufacturing.ts work_orders; cutover/manufacturing.ts (ToE)</t>
        </is>
      </c>
      <c r="N79" s="16" t="inlineStr">
        <is>
          <t>Inspect the issue/complete JEs + the standard-unit-cost FG valuation + the yield-variance plug + the status guard.</t>
        </is>
      </c>
      <c r="O79" s="16" t="inlineStr">
        <is>
          <t>Re-perform: issue (WIP charged), complete at full yield (FG = full cost, no variance) and at a short yield (FG = std×produced, the lost yield to 5810, WIP nets to 0, TB balanced) — re-performed by the harness.</t>
        </is>
      </c>
      <c r="P79" s="16" t="inlineStr">
        <is>
          <t>WO costing register (yield_variance per WO); production JEs</t>
        </is>
      </c>
      <c r="Q79" s="18" t="inlineStr">
        <is>
          <t>Implemented</t>
        </is>
      </c>
    </row>
    <row r="80">
      <c r="A80" s="11" t="inlineStr">
        <is>
          <t>MFG-03</t>
        </is>
      </c>
      <c r="B80" s="12" t="inlineStr">
        <is>
          <t>Manufacturing &amp; Costing</t>
        </is>
      </c>
      <c r="C80" s="13" t="inlineStr">
        <is>
          <t>Application</t>
        </is>
      </c>
      <c r="D80" s="12" t="inlineStr">
        <is>
          <t>Inventory; COGS</t>
        </is>
      </c>
      <c r="E80" s="12" t="inlineStr">
        <is>
          <t>Standard-cost inventory received without isolating the price variance — actual purchase cost buried in inventory, COGS and PPV mis-stated.</t>
        </is>
      </c>
      <c r="F80" s="12" t="inlineStr">
        <is>
          <t>Valuation/Accuracy</t>
        </is>
      </c>
      <c r="G80" s="12" t="inlineStr">
        <is>
          <t>Goods-receipt capitalisation under the configured costing method (FIFO/AVG/STD per tenant+item): FIFO/AVG → Dr 1200 / Cr 2000 at actual; STD → Dr 1200 at standard, the purchase-price variance booked to 5500 (unfavourable Dr / favourable Cr), Cr 2000 at actual — the PPV (5500) leg is the single balancing plug (= actual − standard, rounded once) so the JE can never reject UNBALANCED on independent per-leg rounding.</t>
        </is>
      </c>
      <c r="H80" s="13" t="inlineStr">
        <is>
          <t>Det</t>
        </is>
      </c>
      <c r="I80" s="13" t="inlineStr">
        <is>
          <t>Automated</t>
        </is>
      </c>
      <c r="J80" s="13" t="inlineStr">
        <is>
          <t>Per receipt</t>
        </is>
      </c>
      <c r="K80" s="12" t="inlineStr">
        <is>
          <t>CostAccountant</t>
        </is>
      </c>
      <c r="L80" s="13" t="inlineStr">
        <is>
          <t>P13</t>
        </is>
      </c>
      <c r="M80" s="12" t="inlineStr">
        <is>
          <t>costing.service.ts (config/valuation, GRV capitalisation + 5500 PPV); costing.controller.ts (masterdata); cutover/costing.ts (ToE)</t>
        </is>
      </c>
      <c r="N80" s="12" t="inlineStr">
        <is>
          <t>Inspect the per-method capitalisation routing + the PPV plug.</t>
        </is>
      </c>
      <c r="O80" s="12" t="inlineStr">
        <is>
          <t>Re-perform a STD receipt at actual ≠ standard → PPV isolated to 5500, JE balanced; valuation ties to GL 1200/1210/1250.</t>
        </is>
      </c>
      <c r="P80" s="12" t="inlineStr">
        <is>
          <t>PPV postings; costing valuation</t>
        </is>
      </c>
      <c r="Q80" s="18" t="inlineStr">
        <is>
          <t>Implemented</t>
        </is>
      </c>
    </row>
    <row r="81">
      <c r="A81" s="15" t="inlineStr">
        <is>
          <t>PROJ-01</t>
        </is>
      </c>
      <c r="B81" s="16" t="inlineStr">
        <is>
          <t>Project Accounting</t>
        </is>
      </c>
      <c r="C81" s="17" t="inlineStr">
        <is>
          <t>Application</t>
        </is>
      </c>
      <c r="D81" s="16" t="inlineStr">
        <is>
          <t>Project WIP; COGS</t>
        </is>
      </c>
      <c r="E81" s="16" t="inlineStr">
        <is>
          <t>Project cost mis-stated: a recoverable cost not captured, or an UN-recoverable (non-billable) cost capitalised into project WIP as an asset that overstates the unbilled balance and inflates margin.</t>
        </is>
      </c>
      <c r="F81" s="16" t="inlineStr">
        <is>
          <t>Valuation/Accuracy/Completeness</t>
        </is>
      </c>
      <c r="G81" s="16" t="inlineStr">
        <is>
          <t>Project cost capture with a balanced JE and a billable/non-billable split: a BILLABLE time/expense cost is a recoverable asset → Dr 1260 Project WIP / Cr 2390 Project Costs Applied (accumulates in cost_to_date, relieved to COGS at billing); a NON-BILLABLE cost is unrecoverable → EXPENSED immediately Dr 5800 Project Cost of Services / Cr 2390 (never enters the billable WIP), so the register's total_cost and true margin (billed − recognised − non-billable) reflect the absorbed cost. A non-positive amount → BAD_AMOUNT; first cost flips Open→Active.</t>
        </is>
      </c>
      <c r="H81" s="17" t="inlineStr">
        <is>
          <t>Prev</t>
        </is>
      </c>
      <c r="I81" s="17" t="inlineStr">
        <is>
          <t>Automated</t>
        </is>
      </c>
      <c r="J81" s="17" t="inlineStr">
        <is>
          <t>Per cost entry</t>
        </is>
      </c>
      <c r="K81" s="16" t="inlineStr">
        <is>
          <t>ProjectAccountant</t>
        </is>
      </c>
      <c r="L81" s="17" t="inlineStr">
        <is>
          <t>P13</t>
        </is>
      </c>
      <c r="M81" s="16" t="inlineStr">
        <is>
          <t>projects.service.ts logCost (billable→1260, non-billable→5800; fmt exposes non_billable_cost/total_cost/margin); projects.controller.ts; schema/projects.ts project_entries.billable; cutover/projects.ts (ToE)</t>
        </is>
      </c>
      <c r="N81" s="16" t="inlineStr">
        <is>
          <t>Inspect the billable/non-billable GL routing + the WIP vs immediate-expense decision + the margin roll-up.</t>
        </is>
      </c>
      <c r="O81" s="16" t="inlineStr">
        <is>
          <t>Re-perform: a billable cost capitalises to 1260; a non-billable cost expenses to 5800 (NOT WIP), cost_to_date unchanged, and the project margin absorbs it (re-performed by the harness).</t>
        </is>
      </c>
      <c r="P81" s="16" t="inlineStr">
        <is>
          <t>Project cost JEs; cost register (non_billable_cost)</t>
        </is>
      </c>
      <c r="Q81" s="18" t="inlineStr">
        <is>
          <t>Implemented</t>
        </is>
      </c>
    </row>
    <row r="82">
      <c r="A82" s="11" t="inlineStr">
        <is>
          <t>PROJ-02</t>
        </is>
      </c>
      <c r="B82" s="12" t="inlineStr">
        <is>
          <t>Project Accounting</t>
        </is>
      </c>
      <c r="C82" s="13" t="inlineStr">
        <is>
          <t>Application</t>
        </is>
      </c>
      <c r="D82" s="12" t="inlineStr">
        <is>
          <t>Project WIP; Revenue; COGS</t>
        </is>
      </c>
      <c r="E82" s="12" t="inlineStr">
        <is>
          <t>Revenue billed without matching cost — WIP not relieved, cost of services mis-stated, margin overstated.</t>
        </is>
      </c>
      <c r="F82" s="12" t="inlineStr">
        <is>
          <t>Accuracy/Cut-off</t>
        </is>
      </c>
      <c r="G82" s="12" t="inlineStr">
        <is>
          <t>Customer billing recognises revenue (Dr 1100 AR / Cr 4200 Project Revenue) and relieves the unbilled WIP to cost of services up to the unrecognised billable cost (Dr 5800 / Cr 1260) in the same event — matching cost to recognised revenue. Billing is by raw amount (T&amp;M) or by PERCENT of the contract for Fixed-price milestone billing; a Fixed-price contract is CAPPED at the contract value (cumulative billing can never exceed it — BILL_EXCEEDS_CONTRACT), so the customer is never over-billed (billed_pct/remaining_to_bill on the register). Billing is idempotent on (project, cumulative billed amount).</t>
        </is>
      </c>
      <c r="H82" s="13" t="inlineStr">
        <is>
          <t>Prev</t>
        </is>
      </c>
      <c r="I82" s="13" t="inlineStr">
        <is>
          <t>Automated</t>
        </is>
      </c>
      <c r="J82" s="13" t="inlineStr">
        <is>
          <t>Per billing</t>
        </is>
      </c>
      <c r="K82" s="12" t="inlineStr">
        <is>
          <t>ProjectController / ArSpecialist</t>
        </is>
      </c>
      <c r="L82" s="13" t="inlineStr">
        <is>
          <t>P13</t>
        </is>
      </c>
      <c r="M82" s="12" t="inlineStr">
        <is>
          <t>projects.service.ts bill (revenue + WIP relief, idempotent); projects.controller.ts (R07 vs cost initiation); cutover/projects.ts (ToE)</t>
        </is>
      </c>
      <c r="N82" s="12" t="inlineStr">
        <is>
          <t>Inspect the bill JE + the WIP-relief matching + idempotency.</t>
        </is>
      </c>
      <c r="O82" s="12" t="inlineStr">
        <is>
          <t>Re-perform a billing → revenue recognised, WIP relieved to 5800 up to unrecognised cost, 1260 reduced; margin = billed − recognised cost (re-performed by the harness).</t>
        </is>
      </c>
      <c r="P82" s="12" t="inlineStr">
        <is>
          <t>Billing JEs; margin/WIP measurement</t>
        </is>
      </c>
      <c r="Q82" s="18" t="inlineStr">
        <is>
          <t>Implemented</t>
        </is>
      </c>
    </row>
    <row r="83">
      <c r="A83" s="15" t="inlineStr">
        <is>
          <t>PROJ-03</t>
        </is>
      </c>
      <c r="B83" s="16" t="inlineStr">
        <is>
          <t>Project Accounting</t>
        </is>
      </c>
      <c r="C83" s="17" t="inlineStr">
        <is>
          <t>Detective</t>
        </is>
      </c>
      <c r="D83" s="16" t="inlineStr">
        <is>
          <t>Project WIP</t>
        </is>
      </c>
      <c r="E83" s="16" t="inlineStr">
        <is>
          <t>Unbilled WIP (1260) and the 2390 clearing balance not reviewed at close — stale or unrecoverable WIP carried into the financial statements.</t>
        </is>
      </c>
      <c r="F83" s="16" t="inlineStr">
        <is>
          <t>Valuation</t>
        </is>
      </c>
      <c r="G83" s="16" t="inlineStr">
        <is>
          <t>Period-end review of unbilled-WIP (1260) aging and the project-costs-applied (2390) clearing tie-out; project margin (billed_to_date − recognised_cost − non-billable) reviewed at close. SoD: billing authorisation is segregated from cost initiation (R07).</t>
        </is>
      </c>
      <c r="H83" s="17" t="inlineStr">
        <is>
          <t>Det</t>
        </is>
      </c>
      <c r="I83" s="17" t="inlineStr">
        <is>
          <t>Hybrid</t>
        </is>
      </c>
      <c r="J83" s="17" t="inlineStr">
        <is>
          <t>Period</t>
        </is>
      </c>
      <c r="K83" s="16" t="inlineStr">
        <is>
          <t>ProjectAccountant / Controller</t>
        </is>
      </c>
      <c r="L83" s="17" t="inlineStr">
        <is>
          <t>P16</t>
        </is>
      </c>
      <c r="M83" s="16" t="inlineStr">
        <is>
          <t>projects.service.ts fmt (wip/margin); the project register + entries; close review</t>
        </is>
      </c>
      <c r="N83" s="16" t="inlineStr">
        <is>
          <t>Inspect 1260 aging + 2390 clearing + margin review evidence.</t>
        </is>
      </c>
      <c r="O83" s="16" t="inlineStr">
        <is>
          <t>Sample projects: 1260 WIP agrees to cost_to_date − recognised; 2390 clears; stale WIP investigated.</t>
        </is>
      </c>
      <c r="P83" s="16" t="inlineStr">
        <is>
          <t>WIP aging; 2390 clearing tie-out</t>
        </is>
      </c>
      <c r="Q83" s="19" t="inlineStr">
        <is>
          <t>Partial</t>
        </is>
      </c>
    </row>
    <row r="84">
      <c r="A84" s="11" t="inlineStr">
        <is>
          <t>GL-01</t>
        </is>
      </c>
      <c r="B84" s="12" t="inlineStr">
        <is>
          <t>General Ledger</t>
        </is>
      </c>
      <c r="C84" s="13" t="inlineStr">
        <is>
          <t>Application</t>
        </is>
      </c>
      <c r="D84" s="12" t="inlineStr">
        <is>
          <t>All</t>
        </is>
      </c>
      <c r="E84" s="12" t="inlineStr">
        <is>
          <t>Unbalanced / one-sided journal entries.</t>
        </is>
      </c>
      <c r="F84" s="12" t="inlineStr">
        <is>
          <t>Accuracy</t>
        </is>
      </c>
      <c r="G84" s="12" t="inlineStr">
        <is>
          <t>Double-entry balanced-by-construction — Σdebit=Σcredit enforced; each line single-sided &amp; non-negative.</t>
        </is>
      </c>
      <c r="H84" s="13" t="inlineStr">
        <is>
          <t>Prev</t>
        </is>
      </c>
      <c r="I84" s="13" t="inlineStr">
        <is>
          <t>Automated</t>
        </is>
      </c>
      <c r="J84" s="13" t="inlineStr">
        <is>
          <t>Per JE</t>
        </is>
      </c>
      <c r="K84" s="12" t="inlineStr">
        <is>
          <t>Controller</t>
        </is>
      </c>
      <c r="L84" s="13" t="inlineStr">
        <is>
          <t>P10</t>
        </is>
      </c>
      <c r="M84" s="12" t="inlineStr">
        <is>
          <t>ledger.service.ts (postEntry — UNBALANCED / INVALID_LINE)</t>
        </is>
      </c>
      <c r="N84" s="12" t="inlineStr">
        <is>
          <t>Inspect balance + line invariants.</t>
        </is>
      </c>
      <c r="O84" s="12" t="inlineStr">
        <is>
          <t>Attempt unbalanced JE → rejected.</t>
        </is>
      </c>
      <c r="P84" s="12" t="inlineStr">
        <is>
          <t>Invariant test</t>
        </is>
      </c>
      <c r="Q84" s="18" t="inlineStr">
        <is>
          <t>Implemented</t>
        </is>
      </c>
    </row>
    <row r="85">
      <c r="A85" s="15" t="inlineStr">
        <is>
          <t>GL-02</t>
        </is>
      </c>
      <c r="B85" s="16" t="inlineStr">
        <is>
          <t>General Ledger</t>
        </is>
      </c>
      <c r="C85" s="17" t="inlineStr">
        <is>
          <t>Application</t>
        </is>
      </c>
      <c r="D85" s="16" t="inlineStr">
        <is>
          <t>All</t>
        </is>
      </c>
      <c r="E85" s="16" t="inlineStr">
        <is>
          <t>Postings to a closed period distort reported results.</t>
        </is>
      </c>
      <c r="F85" s="16" t="inlineStr">
        <is>
          <t>Cutoff</t>
        </is>
      </c>
      <c r="G85" s="16" t="inlineStr">
        <is>
          <t>Period-close lockout — postings to a CLOSED fiscal period are rejected (per-tenant calendar).</t>
        </is>
      </c>
      <c r="H85" s="17" t="inlineStr">
        <is>
          <t>Prev</t>
        </is>
      </c>
      <c r="I85" s="17" t="inlineStr">
        <is>
          <t>Automated</t>
        </is>
      </c>
      <c r="J85" s="17" t="inlineStr">
        <is>
          <t>Per JE</t>
        </is>
      </c>
      <c r="K85" s="16" t="inlineStr">
        <is>
          <t>Controller</t>
        </is>
      </c>
      <c r="L85" s="17" t="inlineStr">
        <is>
          <t>P10</t>
        </is>
      </c>
      <c r="M85" s="16" t="inlineStr">
        <is>
          <t>ledger.service.ts (postEntry PERIOD_CLOSED); fiscal_periods</t>
        </is>
      </c>
      <c r="N85" s="16" t="inlineStr">
        <is>
          <t>Inspect close check.</t>
        </is>
      </c>
      <c r="O85" s="16" t="inlineStr">
        <is>
          <t>Post to closed period → rejected; review exceptions.</t>
        </is>
      </c>
      <c r="P85" s="16" t="inlineStr">
        <is>
          <t>Close-lock test</t>
        </is>
      </c>
      <c r="Q85" s="18" t="inlineStr">
        <is>
          <t>Implemented</t>
        </is>
      </c>
    </row>
    <row r="86">
      <c r="A86" s="11" t="inlineStr">
        <is>
          <t>GL-03</t>
        </is>
      </c>
      <c r="B86" s="12" t="inlineStr">
        <is>
          <t>General Ledger</t>
        </is>
      </c>
      <c r="C86" s="13" t="inlineStr">
        <is>
          <t>Application</t>
        </is>
      </c>
      <c r="D86" s="12" t="inlineStr">
        <is>
          <t>Equity</t>
        </is>
      </c>
      <c r="E86" s="12" t="inlineStr">
        <is>
          <t>Unauthorized year-end close / RE roll.</t>
        </is>
      </c>
      <c r="F86" s="12" t="inlineStr">
        <is>
          <t>Cutoff/Authorization</t>
        </is>
      </c>
      <c r="G86" s="12" t="inlineStr">
        <is>
          <t>Year-end close restricted to 'exec'; closing entries roll to retained earnings.</t>
        </is>
      </c>
      <c r="H86" s="13" t="inlineStr">
        <is>
          <t>Prev</t>
        </is>
      </c>
      <c r="I86" s="13" t="inlineStr">
        <is>
          <t>Auto+Manual</t>
        </is>
      </c>
      <c r="J86" s="13" t="inlineStr">
        <is>
          <t>Annual</t>
        </is>
      </c>
      <c r="K86" s="12" t="inlineStr">
        <is>
          <t>CFO / Controller</t>
        </is>
      </c>
      <c r="L86" s="13" t="inlineStr">
        <is>
          <t>P10/P11</t>
        </is>
      </c>
      <c r="M86" s="12" t="inlineStr">
        <is>
          <t>ledger.controller.ts (close-year @Permissions exec); closeYear</t>
        </is>
      </c>
      <c r="N86" s="12" t="inlineStr">
        <is>
          <t>Inspect permission + closing logic.</t>
        </is>
      </c>
      <c r="O86" s="12" t="inlineStr">
        <is>
          <t>Attempt close w/o exec → 403; review annual close.</t>
        </is>
      </c>
      <c r="P86" s="12" t="inlineStr">
        <is>
          <t>Close package</t>
        </is>
      </c>
      <c r="Q86" s="18" t="inlineStr">
        <is>
          <t>Implemented</t>
        </is>
      </c>
    </row>
    <row r="87">
      <c r="A87" s="15" t="inlineStr">
        <is>
          <t>GL-04</t>
        </is>
      </c>
      <c r="B87" s="16" t="inlineStr">
        <is>
          <t>General Ledger</t>
        </is>
      </c>
      <c r="C87" s="17" t="inlineStr">
        <is>
          <t>Application</t>
        </is>
      </c>
      <c r="D87" s="16" t="inlineStr">
        <is>
          <t>All</t>
        </is>
      </c>
      <c r="E87" s="16" t="inlineStr">
        <is>
          <t>Concurrent posting double-books the same source doc.</t>
        </is>
      </c>
      <c r="F87" s="16" t="inlineStr">
        <is>
          <t>Completeness/Accuracy</t>
        </is>
      </c>
      <c r="G87" s="16" t="inlineStr">
        <is>
          <t>Ledger idempotency — UNIQUE (tenant,source,source_ref,ledger) + ON CONFLICT DO NOTHING in postEntry.</t>
        </is>
      </c>
      <c r="H87" s="17" t="inlineStr">
        <is>
          <t>Prev</t>
        </is>
      </c>
      <c r="I87" s="17" t="inlineStr">
        <is>
          <t>Automated</t>
        </is>
      </c>
      <c r="J87" s="17" t="inlineStr">
        <is>
          <t>Per JE</t>
        </is>
      </c>
      <c r="K87" s="16" t="inlineStr">
        <is>
          <t>Eng Lead / Controller</t>
        </is>
      </c>
      <c r="L87" s="17" t="inlineStr">
        <is>
          <t>P10</t>
        </is>
      </c>
      <c r="M87" s="16" t="inlineStr">
        <is>
          <t>schema/ledger.ts (ux_je_idem); ledger.service.ts; migration 0058</t>
        </is>
      </c>
      <c r="N87" s="16" t="inlineStr">
        <is>
          <t>Inspect unique index + conflict handling.</t>
        </is>
      </c>
      <c r="O87" s="16" t="inlineStr">
        <is>
          <t>Concurrent identical post → single entry.</t>
        </is>
      </c>
      <c r="P87" s="16" t="inlineStr">
        <is>
          <t>Dedup test</t>
        </is>
      </c>
      <c r="Q87" s="18" t="inlineStr">
        <is>
          <t>Implemented</t>
        </is>
      </c>
    </row>
    <row r="88">
      <c r="A88" s="11" t="inlineStr">
        <is>
          <t>GL-05</t>
        </is>
      </c>
      <c r="B88" s="12" t="inlineStr">
        <is>
          <t>General Ledger</t>
        </is>
      </c>
      <c r="C88" s="13" t="inlineStr">
        <is>
          <t>Application</t>
        </is>
      </c>
      <c r="D88" s="12" t="inlineStr">
        <is>
          <t>All</t>
        </is>
      </c>
      <c r="E88" s="12" t="inlineStr">
        <is>
          <t>Manual JE posted without independent review (override risk).</t>
        </is>
      </c>
      <c r="F88" s="12" t="inlineStr">
        <is>
          <t>Authorization</t>
        </is>
      </c>
      <c r="G88" s="12" t="inlineStr">
        <is>
          <t>Manual journal-entry maker-checker — preparer ≠ approver before a manual JE posts.</t>
        </is>
      </c>
      <c r="H88" s="13" t="inlineStr">
        <is>
          <t>Prev</t>
        </is>
      </c>
      <c r="I88" s="13" t="inlineStr">
        <is>
          <t>Auto+Manual</t>
        </is>
      </c>
      <c r="J88" s="13" t="inlineStr">
        <is>
          <t>Per manual JE</t>
        </is>
      </c>
      <c r="K88" s="12" t="inlineStr">
        <is>
          <t>Controller</t>
        </is>
      </c>
      <c r="L88" s="13" t="inlineStr">
        <is>
          <t>P10</t>
        </is>
      </c>
      <c r="M88" s="12" t="inlineStr">
        <is>
          <t>ledger.service.ts (postEntry pendingApproval→Draft; approveEntry preparer≠approver; rejectEntry); ledger.controller.ts (gl_post posts / gl_close approves); cutover/compliance.ts (ToE)</t>
        </is>
      </c>
      <c r="N88" s="12" t="inlineStr">
        <is>
          <t>Inspect JE approval routing.</t>
        </is>
      </c>
      <c r="O88" s="12" t="inlineStr">
        <is>
          <t>Sample manual JEs: approver ≠ preparer; Draft excluded from balances until approved (re-performed by the harness).</t>
        </is>
      </c>
      <c r="P88" s="12" t="inlineStr">
        <is>
          <t>JE approvals</t>
        </is>
      </c>
      <c r="Q88" s="18" t="inlineStr">
        <is>
          <t>Implemented</t>
        </is>
      </c>
    </row>
    <row r="89">
      <c r="A89" s="15" t="inlineStr">
        <is>
          <t>GL-06</t>
        </is>
      </c>
      <c r="B89" s="16" t="inlineStr">
        <is>
          <t>General Ledger</t>
        </is>
      </c>
      <c r="C89" s="17" t="inlineStr">
        <is>
          <t>Application</t>
        </is>
      </c>
      <c r="D89" s="16" t="inlineStr">
        <is>
          <t>All</t>
        </is>
      </c>
      <c r="E89" s="16" t="inlineStr">
        <is>
          <t>Operator mis-posts to another tenant's books.</t>
        </is>
      </c>
      <c r="F89" s="16" t="inlineStr">
        <is>
          <t>Validity</t>
        </is>
      </c>
      <c r="G89" s="16" t="inlineStr">
        <is>
          <t>HQ cross-tenant posting gated to Admin (explicit tenant override); others pinned to context (also RLS).</t>
        </is>
      </c>
      <c r="H89" s="17" t="inlineStr">
        <is>
          <t>Prev</t>
        </is>
      </c>
      <c r="I89" s="17" t="inlineStr">
        <is>
          <t>Automated</t>
        </is>
      </c>
      <c r="J89" s="17" t="inlineStr">
        <is>
          <t>Per JE</t>
        </is>
      </c>
      <c r="K89" s="16" t="inlineStr">
        <is>
          <t>Eng Lead</t>
        </is>
      </c>
      <c r="L89" s="17" t="inlineStr">
        <is>
          <t>P10/P11</t>
        </is>
      </c>
      <c r="M89" s="16" t="inlineStr">
        <is>
          <t>ledger.controller.ts (hqTenant)</t>
        </is>
      </c>
      <c r="N89" s="16" t="inlineStr">
        <is>
          <t>Inspect Admin gating of tenant_id.</t>
        </is>
      </c>
      <c r="O89" s="16" t="inlineStr">
        <is>
          <t>Non-Admin tenant override ignored; Admin audited.</t>
        </is>
      </c>
      <c r="P89" s="16" t="inlineStr">
        <is>
          <t>Override test</t>
        </is>
      </c>
      <c r="Q89" s="18" t="inlineStr">
        <is>
          <t>Implemented</t>
        </is>
      </c>
    </row>
    <row r="90">
      <c r="A90" s="11" t="inlineStr">
        <is>
          <t>GL-07</t>
        </is>
      </c>
      <c r="B90" s="12" t="inlineStr">
        <is>
          <t>General Ledger</t>
        </is>
      </c>
      <c r="C90" s="13" t="inlineStr">
        <is>
          <t>Application</t>
        </is>
      </c>
      <c r="D90" s="12" t="inlineStr">
        <is>
          <t>Cash</t>
        </is>
      </c>
      <c r="E90" s="12" t="inlineStr">
        <is>
          <t>Statement of cash flows mis-stated or doesn't tie to the change in cash.</t>
        </is>
      </c>
      <c r="F90" s="12" t="inlineStr">
        <is>
          <t>Accuracy/Completeness</t>
        </is>
      </c>
      <c r="G90" s="12" t="inlineStr">
        <is>
          <t>Statement of Cash Flows (indirect) reconstructed from the GL: net income + non-cash add-backs + working-capital + investing + financing; year-end CLOSE entries excluded; reconciles to Δcash (1000/1010/1020) by construction with a `reconciled` tie-out flag. A direct-method view presents the same operating cash by receipt/payment nature (receipts from customers, payments to suppliers, tax &amp; payroll) and also reconciles to Δcash; a forward cash-flow forecast projects open AR (inflows) and AP (outflows) by due date from today's cash balance for treasury/collections planning.</t>
        </is>
      </c>
      <c r="H90" s="13" t="inlineStr">
        <is>
          <t>Det</t>
        </is>
      </c>
      <c r="I90" s="13" t="inlineStr">
        <is>
          <t>Automated</t>
        </is>
      </c>
      <c r="J90" s="13" t="inlineStr">
        <is>
          <t>Per period</t>
        </is>
      </c>
      <c r="K90" s="12" t="inlineStr">
        <is>
          <t>Controller</t>
        </is>
      </c>
      <c r="L90" s="13" t="inlineStr">
        <is>
          <t>P10</t>
        </is>
      </c>
      <c r="M90" s="12" t="inlineStr">
        <is>
          <t>ledger.service.ts (cashFlowStatement, cashFlowDirect, cashFlowForecast); ledger.controller.ts (GET cash-flow, cash-flow-direct, cash-flow-forecast); cutover/basics.ts (ToE)</t>
        </is>
      </c>
      <c r="N90" s="12" t="inlineStr">
        <is>
          <t>Inspect SCF derivation + reconciliation flag; inspect direct-method bucketing and forecast projection.</t>
        </is>
      </c>
      <c r="O90" s="12" t="inlineStr">
        <is>
          <t>Run cash-flow over a seeded period — activities tie to the movement in cash; CLOSE excluded; direct method ties to the same operating cash and Δcash; forecast buckets open AR/AP by due week (re-performed by the harness).</t>
        </is>
      </c>
      <c r="P90" s="12" t="inlineStr">
        <is>
          <t>Cash-flow reconciliation; direct-method buckets; forecast schedule</t>
        </is>
      </c>
      <c r="Q90" s="18" t="inlineStr">
        <is>
          <t>Implemented</t>
        </is>
      </c>
    </row>
    <row r="91">
      <c r="A91" s="15" t="inlineStr">
        <is>
          <t>GL-08</t>
        </is>
      </c>
      <c r="B91" s="16" t="inlineStr">
        <is>
          <t>General Ledger</t>
        </is>
      </c>
      <c r="C91" s="17" t="inlineStr">
        <is>
          <t>Application</t>
        </is>
      </c>
      <c r="D91" s="16" t="inlineStr">
        <is>
          <t>All</t>
        </is>
      </c>
      <c r="E91" s="16" t="inlineStr">
        <is>
          <t>Standing/period accruals missed, posted unbalanced, or posted without approval; manual re-keying error.</t>
        </is>
      </c>
      <c r="F91" s="16" t="inlineStr">
        <is>
          <t>Completeness/Accuracy/Authorization</t>
        </is>
      </c>
      <c r="G91" s="16" t="inlineStr">
        <is>
          <t>Recurring/template journal entries: a template's lines are validated balanced (Σdebit=Σcredit) AT SAVE TIME (unbalanced → UNBALANCED), so a broken template can never be persisted. The scheduled job gl_recurring_journals (cron / daily scheduler) posts every due template as a DRAFT JE through the normal maker-checker flow (GL-05) — a different user must approve before it affects balances — and rolls next_run_date forward. Idempotent: next_run_date advanced on posting + the (tenant,source,source_ref,ledger) idempotency key dedupes a same-day re-run. Templates can be paused/resumed without losing history.</t>
        </is>
      </c>
      <c r="H91" s="17" t="inlineStr">
        <is>
          <t>Prev</t>
        </is>
      </c>
      <c r="I91" s="17" t="inlineStr">
        <is>
          <t>Automated</t>
        </is>
      </c>
      <c r="J91" s="17" t="inlineStr">
        <is>
          <t>Per due date / per template</t>
        </is>
      </c>
      <c r="K91" s="16" t="inlineStr">
        <is>
          <t>Controller</t>
        </is>
      </c>
      <c r="L91" s="17" t="inlineStr">
        <is>
          <t>P10</t>
        </is>
      </c>
      <c r="M91" s="16" t="inlineStr">
        <is>
          <t>ledger.service.ts (createRecurring balanced-at-save, runDueRecurring→postEntry pendingApproval, setRecurringActive); ledger.controller.ts (gl_post creates/runs); bi.service.ts (gl_recurring_journals); schema/ledger.ts (recurring_journals) + migration 0119; cutover/basics.ts (ToE)</t>
        </is>
      </c>
      <c r="N91" s="16" t="inlineStr">
        <is>
          <t>Inspect template balance validation + scheduled posting as Draft + idempotency.</t>
        </is>
      </c>
      <c r="O91" s="16" t="inlineStr">
        <is>
          <t>Unbalanced template → UNBALANCED; due template posts a Draft JE (excluded from TB) into the pending queue; re-run posts nothing; a second user approves → accrual hits the GL (re-performed by the harness).</t>
        </is>
      </c>
      <c r="P91" s="16" t="inlineStr">
        <is>
          <t>Recurring-journal templates; scheduled run log; JE approvals</t>
        </is>
      </c>
      <c r="Q91" s="18" t="inlineStr">
        <is>
          <t>Implemented</t>
        </is>
      </c>
    </row>
    <row r="92">
      <c r="A92" s="11" t="inlineStr">
        <is>
          <t>GL-09</t>
        </is>
      </c>
      <c r="B92" s="12" t="inlineStr">
        <is>
          <t>General Ledger</t>
        </is>
      </c>
      <c r="C92" s="13" t="inlineStr">
        <is>
          <t>Application</t>
        </is>
      </c>
      <c r="D92" s="12" t="inlineStr">
        <is>
          <t>Prepaid expenses; Operating expense</t>
        </is>
      </c>
      <c r="E92" s="12" t="inlineStr">
        <is>
          <t>Prepaid expense not amortized over its term — expense mis-stated, prepaid asset overstated.</t>
        </is>
      </c>
      <c r="F92" s="12" t="inlineStr">
        <is>
          <t>Accuracy/Completeness</t>
        </is>
      </c>
      <c r="G92" s="12" t="inlineStr">
        <is>
          <t>Prepaid amortization schedules: a prepaid asset (insurance/rent paid up front) is registered once with a total + term; the scheduled job gl_prepaid_amortize posts a straight-line slice each period (Dr expense / Cr 1280), the last period taking the remainder so the asset fully clears. Idempotent per (schedule, period) via the JE idempotency key + next_run_date advance.</t>
        </is>
      </c>
      <c r="H92" s="13" t="inlineStr">
        <is>
          <t>Det</t>
        </is>
      </c>
      <c r="I92" s="13" t="inlineStr">
        <is>
          <t>Automated</t>
        </is>
      </c>
      <c r="J92" s="13" t="inlineStr">
        <is>
          <t>Per period / per schedule</t>
        </is>
      </c>
      <c r="K92" s="12" t="inlineStr">
        <is>
          <t>Controller</t>
        </is>
      </c>
      <c r="L92" s="13" t="inlineStr">
        <is>
          <t>P10</t>
        </is>
      </c>
      <c r="M92" s="12" t="inlineStr">
        <is>
          <t>ledger.service.ts (createPrepaid, runDuePrepaid); ledger.controller.ts (gl_post); bi.service.ts (gl_prepaid_amortize); schema/ledger.ts (prepaid_schedules) + migration 0120; cutover/basics.ts (ToE)</t>
        </is>
      </c>
      <c r="N92" s="12" t="inlineStr">
        <is>
          <t>Inspect amortization slice + final-period remainder + idempotency.</t>
        </is>
      </c>
      <c r="O92" s="12" t="inlineStr">
        <is>
          <t>Register a 12-month prepaid; run amortizes 1/12 to expense; re-run posts nothing (re-performed by the harness).</t>
        </is>
      </c>
      <c r="P92" s="12" t="inlineStr">
        <is>
          <t>Prepaid schedules; amortization run log</t>
        </is>
      </c>
      <c r="Q92" s="18" t="inlineStr">
        <is>
          <t>Implemented</t>
        </is>
      </c>
    </row>
    <row r="93">
      <c r="A93" s="15" t="inlineStr">
        <is>
          <t>GL-10</t>
        </is>
      </c>
      <c r="B93" s="16" t="inlineStr">
        <is>
          <t>General Ledger</t>
        </is>
      </c>
      <c r="C93" s="17" t="inlineStr">
        <is>
          <t>Application</t>
        </is>
      </c>
      <c r="D93" s="16" t="inlineStr">
        <is>
          <t>All</t>
        </is>
      </c>
      <c r="E93" s="16" t="inlineStr">
        <is>
          <t>A new company starts on a chart of accounts with no industry guidance — staff post to wrong/ambiguous accounts; or an industry template drifts from the GL engine's fixed posting codes so a posting targets an account that does not exist (mis-statement / unposted transaction).</t>
        </is>
      </c>
      <c r="F93" s="16" t="inlineStr">
        <is>
          <t>Completeness/Accuracy/Presentation</t>
        </is>
      </c>
      <c r="G93" s="16" t="inlineStr">
        <is>
          <t>Industry Chart-of-Accounts templates: the GL engine binds to a FIXED, global account universe (canonical codes are immutable); each tenant additionally gets a per-tenant overlay (tenant_accounts) curating which canonical accounts are active and how they are named/grouped for its industry. At company creation the customer picks an industry (restaurant/retail/distribution/services/general) and the chosen template is materialised into the overlay (provisionTenantCoA) inside the signup transaction, right after fiscal-year provisioning; adopting an industry pack later does the same. Every template code is asserted to exist in the canonical chart at boot (assertTemplatesSubsetOf in seedChartOfAccounts) so a drifted template fails fast and can never reach a tenant. Provisioning is idempotent + additive (never deletes) so re-running only adds missing accounts. The overlay NEVER gates postings — it scopes the picker / Chart-of-Accounts view only; reports surface any account that is active OR carries activity, so a curated-out account that receives a posting still appears.</t>
        </is>
      </c>
      <c r="H93" s="17" t="inlineStr">
        <is>
          <t>Prev</t>
        </is>
      </c>
      <c r="I93" s="17" t="inlineStr">
        <is>
          <t>Automated</t>
        </is>
      </c>
      <c r="J93" s="17" t="inlineStr">
        <is>
          <t>At company creation / per pack adopt</t>
        </is>
      </c>
      <c r="K93" s="16" t="inlineStr">
        <is>
          <t>Controller</t>
        </is>
      </c>
      <c r="L93" s="17" t="inlineStr">
        <is>
          <t>P10</t>
        </is>
      </c>
      <c r="M93" s="16" t="inlineStr">
        <is>
          <t>ledger.service.ts (provisionTenantCoA idempotent+additive, tenant-aware listAccounts, seedChartOfAccounts→assertTemplatesSubsetOf); coa-templates.ts (industry templates + subset assertion); billing.service.ts signup (industry→provisionTenantCoA in-txn); onboarding.service.ts applyPack (pack adopt provisions CoA); schema/ledger.ts tenant_accounts + tenants.industry + migration 0139; cutover/basics.ts + compliance.ts (ToE)</t>
        </is>
      </c>
      <c r="N93" s="16" t="inlineStr">
        <is>
          <t>Inspect the boot subset assertion + signup provisioning + the overlay-is-presentation-only read path.</t>
        </is>
      </c>
      <c r="O93" s="16" t="inlineStr">
        <is>
          <t>Re-perform: a template referencing an unknown code fails the boot assertion; signup with industry=restaurant materialises a curated, industry-named chart (4000='Food &amp; Beverage Sales') that omits non-F&amp;B accounts; ?all=true still returns the full canonical universe (overlay never gates posting); signup with no industry ⇒ general = the full live chart (re-performed by the harnesses).</t>
        </is>
      </c>
      <c r="P93" s="16" t="inlineStr">
        <is>
          <t>Industry templates; tenant_accounts overlay; signup provisioning log</t>
        </is>
      </c>
      <c r="Q93" s="18" t="inlineStr">
        <is>
          <t>Implemented</t>
        </is>
      </c>
    </row>
    <row r="94">
      <c r="A94" s="11" t="inlineStr">
        <is>
          <t>GL-11</t>
        </is>
      </c>
      <c r="B94" s="12" t="inlineStr">
        <is>
          <t>General Ledger</t>
        </is>
      </c>
      <c r="C94" s="13" t="inlineStr">
        <is>
          <t>Application</t>
        </is>
      </c>
      <c r="D94" s="12" t="inlineStr">
        <is>
          <t>All</t>
        </is>
      </c>
      <c r="E94" s="12" t="inlineStr">
        <is>
          <t>Chart of Accounts changed without authorisation; account code changed after postings exist; account deactivated while carrying a non-zero balance; manual JE posted directly to a control account (AR/AP/INV/FA), bypassing the sub-ledger and hiding a sub-ledger discrepancy.</t>
        </is>
      </c>
      <c r="F94" s="12" t="inlineStr">
        <is>
          <t>Authorization/Completeness/Accuracy</t>
        </is>
      </c>
      <c r="G94" s="12" t="inlineStr">
        <is>
          <t>CoA Change Control: account creation/update/deactivation requires the gl_coa permission (held by FinancialController, not GlAccountant — separated from gl_post per SoD). Disabling postability on an account that already has posted entries is rejected (CODE_HAS_POSTINGS). Deactivation is rejected if the account carries a non-zero net balance (ACCOUNT_HAS_BALANCE) — prevents orphaning a balance in a closed account. Four accounts are flagged is_control=true at setup: 1100 (AR), 2000 (AP), 1200 (INV), 1500 (FA); a direct manual JE that touches any of these without viaSubledger:true is rejected (CONTROL_ACCOUNT), ensuring AR/AP/INV/FA balances are exclusively maintained by their respective sub-ledger service methods.</t>
        </is>
      </c>
      <c r="H94" s="13" t="inlineStr">
        <is>
          <t>Prev</t>
        </is>
      </c>
      <c r="I94" s="13" t="inlineStr">
        <is>
          <t>Automated</t>
        </is>
      </c>
      <c r="J94" s="13" t="inlineStr">
        <is>
          <t>Event-driven</t>
        </is>
      </c>
      <c r="K94" s="12" t="inlineStr">
        <is>
          <t>Financial Controller</t>
        </is>
      </c>
      <c r="L94" s="13" t="inlineStr">
        <is>
          <t>P10</t>
        </is>
      </c>
      <c r="M94" s="12" t="inlineStr">
        <is>
          <t>coa.service.ts (createAccount DUPLICATE_ACCOUNT, updateAccount CODE_HAS_POSTINGS, deactivateAccount ACCOUNT_HAS_BALANCE); coa.controller.ts (gl_coa permission gate); ledger.service.ts postEntry control-account guard (CONTROL_ACCOUNT, viaSubledger flag); schema/ledger.ts (account_groups table, accounts.is_control/control_subledger/is_postable/normal_balance + migration 0155); packages/shared/src/permissions.ts (gl_coa sub-permission, FinancialController default)</t>
        </is>
      </c>
      <c r="N94" s="12" t="inlineStr">
        <is>
          <t>Inspect gl_coa permission gate + CODE_HAS_POSTINGS guard + ACCOUNT_HAS_BALANCE guard + CONTROL_ACCOUNT guard + viaSubledger bypass.</t>
        </is>
      </c>
      <c r="O94" s="12" t="inlineStr">
        <is>
          <t>Re-perform: create an account with gl_coa → 201; attempt to deactivate an account with balance → ACCOUNT_HAS_BALANCE; post directly to account 1100 without viaSubledger → CONTROL_ACCOUNT (re-performed by TC-GL-11-01/02/03 UAT cases).</t>
        </is>
      </c>
      <c r="P94" s="12" t="inlineStr">
        <is>
          <t>CoA change log (audit_log); permission test; control-account guard test</t>
        </is>
      </c>
      <c r="Q94" s="18" t="inlineStr">
        <is>
          <t>Implemented</t>
        </is>
      </c>
    </row>
    <row r="95">
      <c r="A95" s="15" t="inlineStr">
        <is>
          <t>GL-12</t>
        </is>
      </c>
      <c r="B95" s="16" t="inlineStr">
        <is>
          <t>General Ledger</t>
        </is>
      </c>
      <c r="C95" s="17" t="inlineStr">
        <is>
          <t>Application</t>
        </is>
      </c>
      <c r="D95" s="16" t="inlineStr">
        <is>
          <t>All</t>
        </is>
      </c>
      <c r="E95" s="16" t="inlineStr">
        <is>
          <t>Account-assignment errors introduced by scattered inline account-code literals in service code; a tenant needing a different account for a given business event has no mechanism to override without a code change.</t>
        </is>
      </c>
      <c r="F95" s="16" t="inlineStr">
        <is>
          <t>Authorization/Accuracy</t>
        </is>
      </c>
      <c r="G95" s="16" t="inlineStr">
        <is>
          <t>Posting / Account-Determination Engine: two tables — posting_event_types (28 seeded event types, e.g. SALE.FOOD, GR.INVENTORY, DEPRECIATION.FA) and posting_rules (maps event × leg-order to semantic role → account_code + DR/CR side) — drive account assignment instead of hard-coded literals. PostingService.post(eventType, ctx) resolves the applicable rules (global defaults, or shadowed by tenant-specific overrides for the same leg_order), translates role-keyed amounts into DR/CR lines, and delegates to LedgerService.postEntry. If no active rules exist for an event the call fails with NO_POSTING_RULE. Tenant-specific rules require gl_posting_rules permission to create/update. PostingService.preview() provides a dry-run for audit.</t>
        </is>
      </c>
      <c r="H95" s="17" t="inlineStr">
        <is>
          <t>Prev</t>
        </is>
      </c>
      <c r="I95" s="17" t="inlineStr">
        <is>
          <t>Automated</t>
        </is>
      </c>
      <c r="J95" s="17" t="inlineStr">
        <is>
          <t>Event-driven</t>
        </is>
      </c>
      <c r="K95" s="16" t="inlineStr">
        <is>
          <t>Financial Controller</t>
        </is>
      </c>
      <c r="L95" s="17" t="inlineStr">
        <is>
          <t>P10</t>
        </is>
      </c>
      <c r="M95" s="16" t="inlineStr">
        <is>
          <t>posting.service.ts (resolveRules, post, preview, listEventTypes, listRules, upsertRule); posting-rules.controller.ts (gl_posting_rules permission gate); schema/posting-rules.ts (posting_event_types, posting_rules tables); migration 0156 (tables + 28 event types + global-default rules); ledger.module.ts (PostingService exported); packages/shared/src/permissions.ts (gl_posting_rules sub-permission); cutover/basics.ts (golden-snapshot ToE)</t>
        </is>
      </c>
      <c r="N95" s="16" t="inlineStr">
        <is>
          <t>Inspect the rule-resolution logic + NO_POSTING_RULE fast-fail + tenant-shadow logic + gl_posting_rules permission gate.</t>
        </is>
      </c>
      <c r="O95" s="16" t="inlineStr">
        <is>
          <t>Re-perform: preview DEPRECIATION.FA with dep_expense:1000 → DR 5200 / CR 1590; preview GR.INVENTORY with inventory:500 → DR 1200 / CR 2000; preview UNKNOWN_EVENT → NO_POSTING_RULE (400); event-type catalogue returns ≥20 entries (re-performed by TC-GL-12-01/02/03/04 UAT cases + basics.ts harness).</t>
        </is>
      </c>
      <c r="P95" s="16" t="inlineStr">
        <is>
          <t>Posting-rule change log; preview dry-run; harness golden snapshot</t>
        </is>
      </c>
      <c r="Q95" s="18" t="inlineStr">
        <is>
          <t>Implemented</t>
        </is>
      </c>
    </row>
    <row r="96">
      <c r="A96" s="11" t="inlineStr">
        <is>
          <t>GL-13</t>
        </is>
      </c>
      <c r="B96" s="12" t="inlineStr">
        <is>
          <t>General Ledger</t>
        </is>
      </c>
      <c r="C96" s="13" t="inlineStr">
        <is>
          <t>Application</t>
        </is>
      </c>
      <c r="D96" s="12" t="inlineStr">
        <is>
          <t>All</t>
        </is>
      </c>
      <c r="E96" s="12" t="inlineStr">
        <is>
          <t>Revenue or expense mis-attributed to the wrong branch / project — per-location P&amp;L is unintelligible or misleading.</t>
        </is>
      </c>
      <c r="F96" s="12" t="inlineStr">
        <is>
          <t>Accuracy/Presentation</t>
        </is>
      </c>
      <c r="G96" s="12" t="inlineStr">
        <is>
          <t>Multi-dimensional GL postings: journal_lines carries three optional dimension columns (branch_id, project_id, department_id). PostingService.post() stamps all generated lines from PostingContext (branchId/projectId/departmentId). GET /api/ledger/income-statement/by-branch provides a per-branch P&amp;L view; lines without a branch_id are grouped as 'unassigned'. The departments master table holds a tenant-scoped department registry with RLS isolation.</t>
        </is>
      </c>
      <c r="H96" s="13" t="inlineStr">
        <is>
          <t>Det</t>
        </is>
      </c>
      <c r="I96" s="13" t="inlineStr">
        <is>
          <t>Automated</t>
        </is>
      </c>
      <c r="J96" s="13" t="inlineStr">
        <is>
          <t>Per period</t>
        </is>
      </c>
      <c r="K96" s="12" t="inlineStr">
        <is>
          <t>Controller</t>
        </is>
      </c>
      <c r="L96" s="13" t="inlineStr">
        <is>
          <t>P10</t>
        </is>
      </c>
      <c r="M96" s="12" t="inlineStr">
        <is>
          <t>ledger.service.ts (incomeStatementByBranch); ledger.controller.ts (GET income-statement/by-branch); posting.service.ts (branchId/projectId/departmentId from PostingContext); schema/ledger.ts (branch_id, project_id, department_id on journal_lines); schema/departments.ts (departments table); migration 0157; cutover/basics.ts (GL-13 ToE)</t>
        </is>
      </c>
      <c r="N96" s="12" t="inlineStr">
        <is>
          <t>Inspect by-branch query + PostingContext stamping + department RLS.</t>
        </is>
      </c>
      <c r="O96" s="12" t="inlineStr">
        <is>
          <t>TC-GL-13-01/02/03: smoke + two branches + unassigned bucket (re-performed by the basics.ts harness).</t>
        </is>
      </c>
      <c r="P96" s="12" t="inlineStr">
        <is>
          <t>By-branch P&amp;L report; dimension completeness</t>
        </is>
      </c>
      <c r="Q96" s="18" t="inlineStr">
        <is>
          <t>Implemented</t>
        </is>
      </c>
    </row>
    <row r="97">
      <c r="A97" s="15" t="inlineStr">
        <is>
          <t>GL-14</t>
        </is>
      </c>
      <c r="B97" s="16" t="inlineStr">
        <is>
          <t>General Ledger</t>
        </is>
      </c>
      <c r="C97" s="17" t="inlineStr">
        <is>
          <t>Application</t>
        </is>
      </c>
      <c r="D97" s="16" t="inlineStr">
        <is>
          <t>All</t>
        </is>
      </c>
      <c r="E97" s="16" t="inlineStr">
        <is>
          <t>GL control-account balances (AR/AP/INV/FA) drift from the underlying sub-ledger detail without detection — the control account no longer represents the sum of its sub-ledger, masking posting errors, unrecorded items, or fraud.</t>
        </is>
      </c>
      <c r="F97" s="16" t="inlineStr">
        <is>
          <t>Completeness/Accuracy/Valuation</t>
        </is>
      </c>
      <c r="G97" s="16" t="inlineStr">
        <is>
          <t>Sub-ledger tie-out / reconciliation: POST /api/ledger/tie-out/run computes, per control account, the GL balance (Σ debit−credit of posted journal_lines on the control account up to the as-of date, tenant-scoped) and the sub-ledger detail balance (AR = Σ outstanding ar_invoices; AP = Σ outstanding ap_transactions; INV = Σ inv_balances.total_value perpetual valuation; FA = Σ acquire_cost − accumulated_depreciation of non-disposed fixed_assets), records the variance (gl − subledger) and a status (Matched if |variance|&lt;0.01 else Variance). Runs upsert per (tenant, subledger, as-of). Certification is maker-checker: POST /api/ledger/tie-out/:id/certify sets status=Certified and records certifier + timestamp, and REJECTS a certifier equal to the runner (SELF_CERTIFY) — the gl_close certifier must differ from the gl_post/gl_close runner (SoD).</t>
        </is>
      </c>
      <c r="H97" s="17" t="inlineStr">
        <is>
          <t>Det</t>
        </is>
      </c>
      <c r="I97" s="17" t="inlineStr">
        <is>
          <t>Automated</t>
        </is>
      </c>
      <c r="J97" s="17" t="inlineStr">
        <is>
          <t>Monthly</t>
        </is>
      </c>
      <c r="K97" s="16" t="inlineStr">
        <is>
          <t>Financial Controller</t>
        </is>
      </c>
      <c r="L97" s="17" t="inlineStr">
        <is>
          <t>P10</t>
        </is>
      </c>
      <c r="M97" s="16" t="inlineStr">
        <is>
          <t>subledger-tieout.service.ts (runTieOut GL/sub-ledger balance computation + variance/status, certify SELF_CERTIFY maker-checker, list/get); subledger-tieout.controller.ts (gl_close/gl_post run, gl_close certify, gl_close/gl_post/exec/creditors/ar read); schema/subledger-tieout.ts (subledger_tieout_runs table, uq on tenant/subledger/as-of); migration 0160 (table + RLS); ledger.module.ts (service+controller wired); cutover/basics.ts (GL-14 ToE)</t>
        </is>
      </c>
      <c r="N97" s="16" t="inlineStr">
        <is>
          <t>Inspect the GL-vs-sub-ledger balance computation + variance/status + SELF_CERTIFY maker-checker gate + gl_close certify permission.</t>
        </is>
      </c>
      <c r="O97" s="16" t="inlineStr">
        <is>
          <t>TC-GL-14-01: run AR tie-out → balances + Matched/Variance; TC-GL-14-02: self-certify by the runner → SELF_CERTIFY (400); TC-GL-14-03: certify by a different gl_close user → Certified (re-performed by the basics.ts harness).</t>
        </is>
      </c>
      <c r="P97" s="16" t="inlineStr">
        <is>
          <t>Tie-out run log (subledger_tieout_runs) with variance + certification trail; monthly reconciliation sign-off</t>
        </is>
      </c>
      <c r="Q97" s="18" t="inlineStr">
        <is>
          <t>Implemented</t>
        </is>
      </c>
    </row>
    <row r="98">
      <c r="A98" s="11" t="inlineStr">
        <is>
          <t>GL-15</t>
        </is>
      </c>
      <c r="B98" s="12" t="inlineStr">
        <is>
          <t>General Ledger</t>
        </is>
      </c>
      <c r="C98" s="13" t="inlineStr">
        <is>
          <t>Application</t>
        </is>
      </c>
      <c r="D98" s="12" t="inlineStr">
        <is>
          <t>All</t>
        </is>
      </c>
      <c r="E98" s="12" t="inlineStr">
        <is>
          <t>A period is 'closed' on paper but key close procedures (sub-ledger tie-out, bank rec, depreciation, recurring/prepaid, trial-balance review) were skipped, OR a closed period is silently re-opened and re-posted — the financial statements are produced on an incomplete/altered basis.</t>
        </is>
      </c>
      <c r="F98" s="12" t="inlineStr">
        <is>
          <t>Completeness/Accuracy/Cutoff</t>
        </is>
      </c>
      <c r="G98" s="12" t="inlineStr">
        <is>
          <t>Hard period close + checklist: POST /api/ledger/close/start opens a close_runs record (status InProgress) per (tenant, period) and seeds a standard checklist of close_run_steps (subledger_tieout, bank_rec, depreciation, recurring, fx_reval[advisory], trial_balance_review). POST /api/ledger/close/step marks a step Done (records completedBy/At); when all REQUIRED steps are Done the run advances to ReadyToLock. POST /api/ledger/close/lock requires ReadyToLock (else STEPS_INCOMPLETE listing the pending required steps) before the period can be locked. Locking writes 'Locked' into fiscal_periods.status; LedgerService.postEntry then REJECTS every posting dated into a Locked period with PERIOD_LOCKED, regardless of the legacy allowClosedPeriod escape (the only exception is the system year-end closing entry, source='CLOSE'). Locked is strictly stronger than the soft 'Closed' status — it is the irreversible hard close.</t>
        </is>
      </c>
      <c r="H98" s="13" t="inlineStr">
        <is>
          <t>Prev</t>
        </is>
      </c>
      <c r="I98" s="13" t="inlineStr">
        <is>
          <t>Automated</t>
        </is>
      </c>
      <c r="J98" s="13" t="inlineStr">
        <is>
          <t>Monthly</t>
        </is>
      </c>
      <c r="K98" s="12" t="inlineStr">
        <is>
          <t>Financial Controller</t>
        </is>
      </c>
      <c r="L98" s="13" t="inlineStr">
        <is>
          <t>P10</t>
        </is>
      </c>
      <c r="M98" s="12" t="inlineStr">
        <is>
          <t>close.service.ts (startClose seeds checklist, completeStep → ReadyToLock when required steps Done, lockPeriod STEPS_INCOMPLETE gate + fiscal_periods Locked write, status/list); close.controller.ts (gl_close start/step/lock, gl_close/gl_post/exec read); schema/close-runs.ts (close_runs + close_run_steps, uq on tenant/period and run/step_key); schema/ledger.ts (period_status enum + 'Locked'); ledger.service.ts (postEntry PERIOD_LOCKED hard gate, source='CLOSE' exemption); migration 0162 (tables + RLS + ALTER TYPE Locked); ledger.module.ts (service+controller wired); cutover/basics.ts (GL-15/GL-16 ToE)</t>
        </is>
      </c>
      <c r="N98" s="12" t="inlineStr">
        <is>
          <t>Inspect the seeded checklist + ReadyToLock gating + STEPS_INCOMPLETE lock rejection + PERIOD_LOCKED hard gate in postEntry (incl. the CLOSE exemption).</t>
        </is>
      </c>
      <c r="O98" s="12" t="inlineStr">
        <is>
          <t>TC-GL-15-01: start close seeds ≥4 steps (InProgress); TC-GL-15-02: lock before steps done → STEPS_INCOMPLETE (400); TC-GL-15-03: post into locked period → PERIOD_LOCKED (400) (re-performed by the basics.ts harness).</t>
        </is>
      </c>
      <c r="P98" s="12" t="inlineStr">
        <is>
          <t>close_runs / close_run_steps with completion trail; fiscal_periods.status=Locked; monthly close sign-off</t>
        </is>
      </c>
      <c r="Q98" s="18" t="inlineStr">
        <is>
          <t>Implemented</t>
        </is>
      </c>
    </row>
    <row r="99">
      <c r="A99" s="15" t="inlineStr">
        <is>
          <t>GL-16</t>
        </is>
      </c>
      <c r="B99" s="16" t="inlineStr">
        <is>
          <t>General Ledger</t>
        </is>
      </c>
      <c r="C99" s="17" t="inlineStr">
        <is>
          <t>Application</t>
        </is>
      </c>
      <c r="D99" s="16" t="inlineStr">
        <is>
          <t>All</t>
        </is>
      </c>
      <c r="E99" s="16" t="inlineStr">
        <is>
          <t>One person both performs the close and locks the period, defeating segregation of duties — a preparer could conceal a misstatement by closing over their own work without independent review.</t>
        </is>
      </c>
      <c r="F99" s="16" t="inlineStr">
        <is>
          <t>Authorization/Segregation of Duties</t>
        </is>
      </c>
      <c r="G99" s="16" t="inlineStr">
        <is>
          <t>Segregated period lock (maker-checker): the close_runs.started_by (the user who started the close and ran the checklist steps) is recorded, and POST /api/ledger/close/lock REJECTS a lockedBy equal to startedBy with SELF_LOCK — the gl_close user who locks the period MUST differ from the user who started/ran the close. Both identities and the lock timestamp are retained on the close_runs row (started_by / locked_by / locked_at) as the SoD evidence trail. This complements the existing SoD rule that gl_close is segregated from gl_post (JE posting).</t>
        </is>
      </c>
      <c r="H99" s="17" t="inlineStr">
        <is>
          <t>Prev</t>
        </is>
      </c>
      <c r="I99" s="17" t="inlineStr">
        <is>
          <t>Automated</t>
        </is>
      </c>
      <c r="J99" s="17" t="inlineStr">
        <is>
          <t>Monthly</t>
        </is>
      </c>
      <c r="K99" s="16" t="inlineStr">
        <is>
          <t>Financial Controller</t>
        </is>
      </c>
      <c r="L99" s="17" t="inlineStr">
        <is>
          <t>P10</t>
        </is>
      </c>
      <c r="M99" s="16" t="inlineStr">
        <is>
          <t>close.service.ts (lockPeriod SELF_LOCK maker-checker gate; started_by vs locked_by); close.controller.ts (gl_close lock, acting username from JWT); schema/close-runs.ts (started_by, locked_by, locked_at columns); permissions.ts (gl_post×gl_close SoD pair); cutover/basics.ts (GL-16 ToE)</t>
        </is>
      </c>
      <c r="N99" s="16" t="inlineStr">
        <is>
          <t>Inspect the SELF_LOCK gate (startedBy ≠ lockedBy) + the started_by/locked_by/locked_at evidence trail.</t>
        </is>
      </c>
      <c r="O99" s="16" t="inlineStr">
        <is>
          <t>TC-GL-16-01: self-lock by the starter → SELF_LOCK (400); TC-GL-16-02: lock by a different gl_close user → Locked, locked_by recorded (re-performed by the basics.ts harness).</t>
        </is>
      </c>
      <c r="P99" s="16" t="inlineStr">
        <is>
          <t>close_runs.started_by / locked_by / locked_at SoD trail; monthly close sign-off</t>
        </is>
      </c>
      <c r="Q99" s="18" t="inlineStr">
        <is>
          <t>Implemented</t>
        </is>
      </c>
    </row>
    <row r="100">
      <c r="A100" s="11" t="inlineStr">
        <is>
          <t>GL-17</t>
        </is>
      </c>
      <c r="B100" s="12" t="inlineStr">
        <is>
          <t>General Ledger</t>
        </is>
      </c>
      <c r="C100" s="13" t="inlineStr">
        <is>
          <t>Application</t>
        </is>
      </c>
      <c r="D100" s="12" t="inlineStr">
        <is>
          <t>All</t>
        </is>
      </c>
      <c r="E100" s="12" t="inlineStr">
        <is>
          <t>A posted journal entry is edited or deleted after the fact — restating history with no trail — instead of being corrected by a transparent reversal; or a correction is made with no record of who/what/why. The general ledger is no longer an immutable, auditable record of record.</t>
        </is>
      </c>
      <c r="F100" s="12" t="inlineStr">
        <is>
          <t>Completeness/Accuracy/Authorization</t>
        </is>
      </c>
      <c r="G100" s="12" t="inlineStr">
        <is>
          <t>Posted-entry immutability + reversal-only correction + GL audit trail: a journal entry that has reached Posted status is IMMUTABLE — it can never be edited or deleted. Enforcement is twofold: (1) a production DB trigger (gl_block_posted_mutation) that RAISES on any UPDATE/DELETE of a Posted journal_entries row (permitting only the is_reversed bookkeeping flag flip), and (2) an application-level guard (attemptVoidPosted → GL_IMMUTABLE) that refuses and records any mutation attempt. The ONLY way to correct a posted entry is a REVERSAL: reverseEntry posts a NEW, immediately-Posted contra entry that swaps every line's debit/credit (so original + reversal net to zero on every affected account), dimensions carried over, linked via reversal_of, and flags the original is_reversed. A reversal goes through the normal posting path so the period gates (PERIOD_LOCKED/PERIOD_CLOSED) still apply; only Posted entries can be reversed (NOT_POSTED) and only once (ALREADY_REVERSED). Every POST, APPROVE, REVERSE and blocked mutation (MUTATE_BLOCKED) is recorded with actor + detail + timestamp in gl_audit_log (tenant-scoped, RLS).</t>
        </is>
      </c>
      <c r="H100" s="13" t="inlineStr">
        <is>
          <t>Prev</t>
        </is>
      </c>
      <c r="I100" s="13" t="inlineStr">
        <is>
          <t>Automated</t>
        </is>
      </c>
      <c r="J100" s="13" t="inlineStr">
        <is>
          <t>Per entry / continuous</t>
        </is>
      </c>
      <c r="K100" s="12" t="inlineStr">
        <is>
          <t>Financial Controller</t>
        </is>
      </c>
      <c r="L100" s="13" t="inlineStr">
        <is>
          <t>P10</t>
        </is>
      </c>
      <c r="M100" s="12" t="inlineStr">
        <is>
          <t>ledger.service.ts (postEntry stamps posted_at + logs POST; approveEntry stamps posted_at + logs APPROVE; reverseEntry contra-posting with ENTRY_NOT_FOUND/NOT_POSTED/ALREADY_REVERSED + REVERSE log; attemptVoidPosted GL_IMMUTABLE + MUTATE_BLOCKED log; listGlAudit); ledger.controller.ts (gl_post journal/:id/reverse + journal/:id/attempt-void, gl_post/gl_close/exec audit read); schema/ledger.ts (journal_entries posted_at/reversal_of/is_reversed); schema/gl-audit.ts (gl_audit_log table); migration 0164 (columns + gl_audit_log + RLS + gl_block_posted_mutation trigger); ledger.module.ts (LedgerService owns it); cutover/basics.ts (GL-17 ToE)</t>
        </is>
      </c>
      <c r="N100" s="12" t="inlineStr">
        <is>
          <t>Inspect the DB immutability trigger + the app GL_IMMUTABLE guard + the reversal contra-posting (swapped Dr/Cr, reversal_of, is_reversed) + the gl_audit_log trail (POST/APPROVE/REVERSE/MUTATE_BLOCKED).</t>
        </is>
      </c>
      <c r="O100" s="12" t="inlineStr">
        <is>
          <t>TC-GL-17-01: attempt to void a posted entry → GL_IMMUTABLE (400) + MUTATE_BLOCKED audit row; TC-GL-17-02: reverse a posted entry → contra entry nets to zero, original is_reversed + REVERSE audit row; TC-GL-17-03: reverse again → ALREADY_REVERSED (400) (re-performed by the basics.ts harness).</t>
        </is>
      </c>
      <c r="P100" s="12" t="inlineStr">
        <is>
          <t>gl_audit_log trail (POST/APPROVE/REVERSE/MUTATE_BLOCKED); reversal entries with reversal_of linkage; posted-entry immutability</t>
        </is>
      </c>
      <c r="Q100" s="18" t="inlineStr">
        <is>
          <t>Implemented</t>
        </is>
      </c>
    </row>
    <row r="101">
      <c r="A101" s="15" t="inlineStr">
        <is>
          <t>GL-18</t>
        </is>
      </c>
      <c r="B101" s="16" t="inlineStr">
        <is>
          <t>General Ledger</t>
        </is>
      </c>
      <c r="C101" s="17" t="inlineStr">
        <is>
          <t>Application</t>
        </is>
      </c>
      <c r="D101" s="16" t="inlineStr">
        <is>
          <t>Accounts Receivable (1100); Accounts Payable (2000); FX Gain/Loss (5400)</t>
        </is>
      </c>
      <c r="E101" s="16" t="inlineStr">
        <is>
          <t>Open foreign-currency monetary balances (AR/AP) are not restated to the period-end closing rate, or a revaluation is computed and posted by one person with no independent review — the unrealized FX gain/loss is omitted/mis-stated and a single user can move earnings through the FX line.</t>
        </is>
      </c>
      <c r="F101" s="16" t="inlineStr">
        <is>
          <t>Accuracy/Valuation/Authorization/Segregation of Duties</t>
        </is>
      </c>
      <c r="G101" s="16" t="inlineStr">
        <is>
          <t>Period-end FX revaluation governance (maker-checker, idempotent per (tenant, period)): POST /api/ledger/fx-reval/run computes the unrealized FX on every OPEN foreign-currency AR/AP balance — delta_thb = open_foreign × (closing_rate − booked_rate) — staging an 'Open' fx_reval_runs row (one per tenant/period; re-running an Open period refreshes it; a Posted period → ALREADY_POSTED). Closing rates come from the request `rates` map first, else the latest APPROVED fx_rates row (FX-04); a currency with no rate from either → MISSING_RATE (an unapproved manual rate can never drive the reval). POST /api/ledger/fx-reval/:id/post is segregated — the poster MUST differ from the runner (SELF_POST) — and posts the net to 5400 (net gain → Cr 5400; net loss → Dr 5400) with the AR/AP control restatements (Dr/Cr 1100, Dr/Cr 2000) via LedgerService.postEntry, so the WS2.1 PERIOD_LOCKED gate + the GL-17 audit trail apply. Marks the run Posted. SIGN: net P&amp;L = Σ(AR delta) − Σ(AP delta).</t>
        </is>
      </c>
      <c r="H101" s="17" t="inlineStr">
        <is>
          <t>Prev</t>
        </is>
      </c>
      <c r="I101" s="17" t="inlineStr">
        <is>
          <t>Automated</t>
        </is>
      </c>
      <c r="J101" s="17" t="inlineStr">
        <is>
          <t>Monthly / period-end</t>
        </is>
      </c>
      <c r="K101" s="16" t="inlineStr">
        <is>
          <t>Financial Controller</t>
        </is>
      </c>
      <c r="L101" s="17" t="inlineStr">
        <is>
          <t>P10</t>
        </is>
      </c>
      <c r="M101" s="16" t="inlineStr">
        <is>
          <t>fx-reval.service.ts (runReval compute+stage Open, idempotent ALREADY_POSTED, rate resolution MISSING_RATE; postReval SELF_POST maker-checker + 5400/1100/2000 posting; list/get); fx-reval.controller.ts (gl_close/gl_post run + :id/post, gl_close/gl_post/exec read); schema/deferred-tax-fx.ts (fx_reval_runs, uq tenant/period); migration 0168 (tables + RLS); ledger.module.ts (service+controller wired); close.service.ts (fx_reval close-checklist step); reuses fx_rates (FX-04) + LedgerService.postEntry; cutover/basics.ts (GL-18 ToE)</t>
        </is>
      </c>
      <c r="N101" s="16" t="inlineStr">
        <is>
          <t>Inspect the run→post lifecycle, the rate resolution (explicit/approved-only/MISSING_RATE), the SELF_POST maker-checker, and the 5400/1100/2000 posting through the period-lock gate.</t>
        </is>
      </c>
      <c r="O101" s="16" t="inlineStr">
        <is>
          <t>TC-GL-18-01: run on an open foreign AR+AP → net unrealized gain/loss with per-doc detail (Open); TC-GL-18-02: runner self-post → SELF_POST (403), a different user posts → 5400 movement, re-post → ALREADY_POSTED (400) (re-performed by the basics.ts harness).</t>
        </is>
      </c>
      <c r="P101" s="16" t="inlineStr">
        <is>
          <t>fx_reval_runs register (Open→Posted, runner/poster); the FXREVAL-RUN JE to 5400; period-end reval sign-off</t>
        </is>
      </c>
      <c r="Q101" s="18" t="inlineStr">
        <is>
          <t>Implemented</t>
        </is>
      </c>
    </row>
    <row r="102">
      <c r="A102" s="11" t="inlineStr">
        <is>
          <t>EXP-07</t>
        </is>
      </c>
      <c r="B102" s="12" t="inlineStr">
        <is>
          <t>Expenditure</t>
        </is>
      </c>
      <c r="C102" s="13" t="inlineStr">
        <is>
          <t>Application</t>
        </is>
      </c>
      <c r="D102" s="12" t="inlineStr">
        <is>
          <t>Cash; Operating expense</t>
        </is>
      </c>
      <c r="E102" s="12" t="inlineStr">
        <is>
          <t>Petty-cash / employee advance issued but never accounted for — cash leakage, expense unrecorded.</t>
        </is>
      </c>
      <c r="F102" s="12" t="inlineStr">
        <is>
          <t>Existence/Completeness</t>
        </is>
      </c>
      <c r="G102" s="12" t="inlineStr">
        <is>
          <t>Employee cash advances: issuing an advance debits the 1180 Employee Advances control (Dr 1180 / Cr 1000); settlement clears it against actual spend + returned cash (Dr expense + Dr 1000 / Cr 1180), enforced to reconcile (settled_expense + returned_cash must equal the advance → SETTLE_MISMATCH). The 1180 balance is the outstanding float subject to review.</t>
        </is>
      </c>
      <c r="H102" s="13" t="inlineStr">
        <is>
          <t>Det</t>
        </is>
      </c>
      <c r="I102" s="13" t="inlineStr">
        <is>
          <t>Automated</t>
        </is>
      </c>
      <c r="J102" s="13" t="inlineStr">
        <is>
          <t>Per advance</t>
        </is>
      </c>
      <c r="K102" s="12" t="inlineStr">
        <is>
          <t>AP / Controller</t>
        </is>
      </c>
      <c r="L102" s="13" t="inlineStr">
        <is>
          <t>P10</t>
        </is>
      </c>
      <c r="M102" s="12" t="inlineStr">
        <is>
          <t>finance.service.ts (issueAdvance, settleAdvance reconcile-or-reject, listAdvances outstanding); finance.controller.ts (creditors/exec); schema/finance.ts (employee_advances) + migration 0120; cutover/basics.ts (ToE)</t>
        </is>
      </c>
      <c r="N102" s="12" t="inlineStr">
        <is>
          <t>Inspect issue/settle GL + settlement reconciliation guard.</t>
        </is>
      </c>
      <c r="O102" s="12" t="inlineStr">
        <is>
          <t>Issue an advance (1180 up); settle 700+300 clears 1180; mismatched settle → SETTLE_MISMATCH (re-performed by the harness).</t>
        </is>
      </c>
      <c r="P102" s="12" t="inlineStr">
        <is>
          <t>Advance register; outstanding float</t>
        </is>
      </c>
      <c r="Q102" s="18" t="inlineStr">
        <is>
          <t>Implemented</t>
        </is>
      </c>
    </row>
    <row r="103">
      <c r="A103" s="15" t="inlineStr">
        <is>
          <t>EXP-08</t>
        </is>
      </c>
      <c r="B103" s="16" t="inlineStr">
        <is>
          <t>Expenditure</t>
        </is>
      </c>
      <c r="C103" s="17" t="inlineStr">
        <is>
          <t>Application</t>
        </is>
      </c>
      <c r="D103" s="16" t="inlineStr">
        <is>
          <t>Cash; Operating expense</t>
        </is>
      </c>
      <c r="E103" s="16" t="inlineStr">
        <is>
          <t>Petty-cash disbursed beyond authority / without independent review, or drawn past the fund's limit — cash leakage, unauthorised or unrecorded expense, over-extended float.</t>
        </is>
      </c>
      <c r="F103" s="16" t="inlineStr">
        <is>
          <t>Authorization; Completeness</t>
        </is>
      </c>
      <c r="G103" s="16" t="inlineStr">
        <is>
          <t>Petty-cash imprest float + maker-checker on disbursement (SoD): a fund holds cash capped at a credit limit/วงเงิน (1015 Petty Cash, a cash account); each direct EXPENSE or ADVANCE is a REQUEST that posts NOTHING and a DIFFERENT user must approve before the GL posts (expense Dr &lt;expense&gt; / Cr 1015; advance Dr 1180 / Cr 1015) and the fund balance is decremented. Self-approval → SOD_VIOLATION (binds even Admin). A draw beyond the fund balance → INSUFFICIENT_FLOAT; establishing/replenishing above the float limit → OVER_FLOAT. Advances settle (Dr expense + Dr 1015 returned / Cr 1180), returning unused cash to the fund. Every request carries a document reference + receipt key + a status trail (StatusLog) and surfaces in the GOV-01 pending-approvals monitor.</t>
        </is>
      </c>
      <c r="H103" s="17" t="inlineStr">
        <is>
          <t>Prev</t>
        </is>
      </c>
      <c r="I103" s="17" t="inlineStr">
        <is>
          <t>Automated</t>
        </is>
      </c>
      <c r="J103" s="17" t="inlineStr">
        <is>
          <t>Per disbursement</t>
        </is>
      </c>
      <c r="K103" s="16" t="inlineStr">
        <is>
          <t>AP / Controller</t>
        </is>
      </c>
      <c r="L103" s="17" t="inlineStr">
        <is>
          <t>P10</t>
        </is>
      </c>
      <c r="M103" s="16" t="inlineStr">
        <is>
          <t>petty-cash.service.ts (establishFund/replenishFund float guards, createRequest INSUFFICIENT_FLOAT, approveRequest SoD+GL, rejectRequest, settleRequest); petty-cash.controller.ts (creditors/exec); schema/petty-cash.ts (petty_cash_funds, expense_requests) + migration 0139; finance.service.ts pendingApprovals (GOV-01 source 7); cutover/basics.ts + compliance.ts (ToE)</t>
        </is>
      </c>
      <c r="N103" s="16" t="inlineStr">
        <is>
          <t>Inspect the float ceiling + the request→approve flow + the approver≠requester check + that the request posts nothing until approval.</t>
        </is>
      </c>
      <c r="O103" s="16" t="inlineStr">
        <is>
          <t>Re-perform: establish a fund (Dr 1015), request an expense (no GL), self-approve → SOD_VIOLATION, approve as a different user → Dr expense/Cr 1015 + fund down; over-balance draw → INSUFFICIENT_FLOAT; advance approve→settle clears 1180; replenish past float → OVER_FLOAT (re-performed by the harnesses).</t>
        </is>
      </c>
      <c r="P103" s="16" t="inlineStr">
        <is>
          <t>Fund register + disbursement approval log + SoD test</t>
        </is>
      </c>
      <c r="Q103" s="18" t="inlineStr">
        <is>
          <t>Implemented</t>
        </is>
      </c>
    </row>
    <row r="104">
      <c r="A104" s="11" t="inlineStr">
        <is>
          <t>EXP-09</t>
        </is>
      </c>
      <c r="B104" s="12" t="inlineStr">
        <is>
          <t>Expenditure</t>
        </is>
      </c>
      <c r="C104" s="13" t="inlineStr">
        <is>
          <t>Application</t>
        </is>
      </c>
      <c r="D104" s="12" t="inlineStr">
        <is>
          <t>Accounts Payable; Cash</t>
        </is>
      </c>
      <c r="E104" s="12" t="inlineStr">
        <is>
          <t>A PO-based supplier invoice is paid before it is reconciled to its PO and goods receipt — disbursing cash for goods not received, at the wrong quantity, or above the agreed price (over-payment / duplicate / fictitious-receipt fraud), because the AP-pay flow never consults the 3-way match.</t>
        </is>
      </c>
      <c r="F104" s="12" t="inlineStr">
        <is>
          <t>Occurrence/Accuracy/Authorization</t>
        </is>
      </c>
      <c r="G104" s="12" t="inlineStr">
        <is>
          <t>3-way-match PAYMENT GATE: the AP disbursement flow (requestApPayment) calls ThreeWayMatchService.assertPayable BEFORE recording the payment request — a PO-based invoice that was run through match() and did NOT pass (qty/price variance beyond tolerance, over-invoiced, or unmatched line) and was NOT independently overridden is BLOCKED (MATCH_BLOCKED) so no cash can be requested or approved against it. The gate FAILS-OPEN for a non-PO bill (utilities / services / reimbursements never have a match row) so legitimate non-PO payables remain payable; it only blocks invoices subject to the match. Complements EXP-01 (the match + the maker-checked override) by wiring the verdict into the cash path and EXP-06 (the AP disbursement maker-checker).</t>
        </is>
      </c>
      <c r="H104" s="13" t="inlineStr">
        <is>
          <t>Prev</t>
        </is>
      </c>
      <c r="I104" s="13" t="inlineStr">
        <is>
          <t>Automated</t>
        </is>
      </c>
      <c r="J104" s="13" t="inlineStr">
        <is>
          <t>Per payment</t>
        </is>
      </c>
      <c r="K104" s="12" t="inlineStr">
        <is>
          <t>AP / Controller</t>
        </is>
      </c>
      <c r="L104" s="13" t="inlineStr">
        <is>
          <t>P10</t>
        </is>
      </c>
      <c r="M104" s="12" t="inlineStr">
        <is>
          <t>finance.service.ts (requestApPayment → matchSvc.assertPayable); match/three-way-match.service.ts (assertPayable fail-open for non-PO, blocks not-payable &amp; not-overridden); finance.controller.ts (ap/transactions/:txnNo/pay); cutover/match.ts (ToE)</t>
        </is>
      </c>
      <c r="N104" s="12" t="inlineStr">
        <is>
          <t>Inspect that the AP-pay request consults assertPayable and that a non-PO bill is exempt while a failed PO invoice is blocked.</t>
        </is>
      </c>
      <c r="O104" s="12" t="inlineStr">
        <is>
          <t>Re-perform: a PO invoice with a qty/price variance over tolerance → pay request MATCH_BLOCKED; an independently-overridden / matched invoice → pay succeeds; a non-PO bill pays unblocked (re-performed by the match harness).</t>
        </is>
      </c>
      <c r="P104" s="12" t="inlineStr">
        <is>
          <t>Blocked-invoice worklist; payment-gate test</t>
        </is>
      </c>
      <c r="Q104" s="18" t="inlineStr">
        <is>
          <t>Implemented</t>
        </is>
      </c>
    </row>
    <row r="105">
      <c r="A105" s="15" t="inlineStr">
        <is>
          <t>FA-07</t>
        </is>
      </c>
      <c r="B105" s="16" t="inlineStr">
        <is>
          <t>Fixed Assets</t>
        </is>
      </c>
      <c r="C105" s="17" t="inlineStr">
        <is>
          <t>Application</t>
        </is>
      </c>
      <c r="D105" s="16" t="inlineStr">
        <is>
          <t>Property, Plant &amp; Equipment; Equity</t>
        </is>
      </c>
      <c r="E105" s="16" t="inlineStr">
        <is>
          <t>Carrying amount not adjusted for revaluation/impairment — asset over/understated.</t>
        </is>
      </c>
      <c r="F105" s="16" t="inlineStr">
        <is>
          <t>Valuation</t>
        </is>
      </c>
      <c r="G105" s="16" t="inlineStr">
        <is>
          <t>Asset revaluation / impairment: an upward revaluation credits the revaluation surplus in equity (Dr 1500 / Cr 3200); a downward revaluation (impairment) debits impairment loss (Dr 5820 / Cr 1500). The gross 1500 moves by the delta so the register stays tied to the GL; a no-op revaluation is rejected (NO_CHANGE). Every event is logged for the audit trail.</t>
        </is>
      </c>
      <c r="H105" s="17" t="inlineStr">
        <is>
          <t>Det</t>
        </is>
      </c>
      <c r="I105" s="17" t="inlineStr">
        <is>
          <t>Automated</t>
        </is>
      </c>
      <c r="J105" s="17" t="inlineStr">
        <is>
          <t>Per event</t>
        </is>
      </c>
      <c r="K105" s="16" t="inlineStr">
        <is>
          <t>FaAccountant / Controller</t>
        </is>
      </c>
      <c r="L105" s="17" t="inlineStr">
        <is>
          <t>P10</t>
        </is>
      </c>
      <c r="M105" s="16" t="inlineStr">
        <is>
          <t>assets.service.ts (revalue up→3200 / down→5820, listRevaluations; dispose recycles surplus 3200→3100); assets.controller.ts (exec/creditors); schema/assets.ts (asset_revaluations) + migration 0120; cutover/basics.ts (ToE)</t>
        </is>
      </c>
      <c r="N105" s="16" t="inlineStr">
        <is>
          <t>Inspect revaluation/impairment routing + audit log + disposal recycling.</t>
        </is>
      </c>
      <c r="O105" s="16" t="inlineStr">
        <is>
          <t>Upward revaluation credits 3200; impairment debits 5820; no-change → NO_CHANGE; both events logged; on disposal the revaluation surplus is recycled to retained earnings (Dr 3200 / Cr 3100), not through P&amp;L (re-performed by the harness).</t>
        </is>
      </c>
      <c r="P105" s="16" t="inlineStr">
        <is>
          <t>Revaluation log; disposal recycling JE</t>
        </is>
      </c>
      <c r="Q105" s="18" t="inlineStr">
        <is>
          <t>Implemented</t>
        </is>
      </c>
    </row>
    <row r="106">
      <c r="A106" s="11" t="inlineStr">
        <is>
          <t>FA-08</t>
        </is>
      </c>
      <c r="B106" s="12" t="inlineStr">
        <is>
          <t>Fixed Assets</t>
        </is>
      </c>
      <c r="C106" s="13" t="inlineStr">
        <is>
          <t>Application</t>
        </is>
      </c>
      <c r="D106" s="12" t="inlineStr">
        <is>
          <t>Property, Plant &amp; Equipment; Equity</t>
        </is>
      </c>
      <c r="E106" s="12" t="inlineStr">
        <is>
          <t>Carrying amount changed by fair-value revaluation/impairment without independent review — the preparer revalues the asset and posts to equity/P&amp;L on their own (earnings/equity management).</t>
        </is>
      </c>
      <c r="F106" s="12" t="inlineStr">
        <is>
          <t>Authorization</t>
        </is>
      </c>
      <c r="G106" s="12" t="inlineStr">
        <is>
          <t>Asset-revaluation maker-checker (SoD): a revalue/impairment request posts its GL entry as a DRAFT (excluded from balances) and records status 'PendingApproval' WITHOUT moving the carrying value; a DIFFERENT user must approve before the JE is effective and the register is re-valued (approver ≠ preparer enforced regardless of permissions, reusing the GL-05 ledger approval). Reject voids the draft; only one revaluation may be pending per asset; the disposal surplus recycle counts only approved revaluations.</t>
        </is>
      </c>
      <c r="H106" s="13" t="inlineStr">
        <is>
          <t>Prev</t>
        </is>
      </c>
      <c r="I106" s="13" t="inlineStr">
        <is>
          <t>Automated</t>
        </is>
      </c>
      <c r="J106" s="13" t="inlineStr">
        <is>
          <t>Per event</t>
        </is>
      </c>
      <c r="K106" s="12" t="inlineStr">
        <is>
          <t>FaAccountant / Controller</t>
        </is>
      </c>
      <c r="L106" s="13" t="inlineStr">
        <is>
          <t>P10</t>
        </is>
      </c>
      <c r="M106" s="12" t="inlineStr">
        <is>
          <t>assets.service.ts revalue(pendingApproval Draft)/approveRevaluation/rejectRevaluation; assets.controller.ts (:assetNo/revalue/approve|reject); schema/assets.ts asset_revaluations.status + migration 0134; cutover/basics.ts + compliance.ts (ToE)</t>
        </is>
      </c>
      <c r="N106" s="12" t="inlineStr">
        <is>
          <t>Inspect Draft→approve flow + the approver≠preparer check + deferred carrying-value update.</t>
        </is>
      </c>
      <c r="O106" s="12" t="inlineStr">
        <is>
          <t>Re-perform: request a revaluation (Draft JE excluded from 3200), attempt self-approve (SOD_VIOLATION), approve as a different user; confirm the surplus/impairment + carrying value move only after approval (re-performed by the harnesses).</t>
        </is>
      </c>
      <c r="P106" s="12" t="inlineStr">
        <is>
          <t>Revaluation approval log + SoD test</t>
        </is>
      </c>
      <c r="Q106" s="18" t="inlineStr">
        <is>
          <t>Implemented</t>
        </is>
      </c>
    </row>
    <row r="107">
      <c r="A107" s="15" t="inlineStr">
        <is>
          <t>LSE-01</t>
        </is>
      </c>
      <c r="B107" s="16" t="inlineStr">
        <is>
          <t>Leases</t>
        </is>
      </c>
      <c r="C107" s="17" t="inlineStr">
        <is>
          <t>Application</t>
        </is>
      </c>
      <c r="D107" s="16" t="inlineStr">
        <is>
          <t>Right-of-use assets; Lease liabilities</t>
        </is>
      </c>
      <c r="E107" s="16" t="inlineStr">
        <is>
          <t>Lease not capitalised (IFRS 16 / TFRS 16) — ROU asset + lease liability omitted; interest/depreciation mis-stated.</t>
        </is>
      </c>
      <c r="F107" s="16" t="inlineStr">
        <is>
          <t>Completeness/Accuracy/Valuation</t>
        </is>
      </c>
      <c r="G107" s="16" t="inlineStr">
        <is>
          <t>Lease accounting: at commencement a right-of-use asset and lease liability are recognised at the present value of the lease payments (Dr 1600 / Cr 2600). The scheduled job lease_periodic_run posts each period — interest unwinding on the liability (Dr 5900), the cash payment reducing the liability (Dr 2600 / Cr 1000), and straight-line ROU depreciation (Dr 5210 / Cr 1690) — the last period clearing the liability + ROU exactly. Idempotent per (lease, period).</t>
        </is>
      </c>
      <c r="H107" s="17" t="inlineStr">
        <is>
          <t>Det</t>
        </is>
      </c>
      <c r="I107" s="17" t="inlineStr">
        <is>
          <t>Automated</t>
        </is>
      </c>
      <c r="J107" s="17" t="inlineStr">
        <is>
          <t>Per period / per lease</t>
        </is>
      </c>
      <c r="K107" s="16" t="inlineStr">
        <is>
          <t>Controller</t>
        </is>
      </c>
      <c r="L107" s="17" t="inlineStr">
        <is>
          <t>P10</t>
        </is>
      </c>
      <c r="M107" s="16" t="inlineStr">
        <is>
          <t>leases.service.ts (createLease PV recognition, runDueLeases interest+payment+depreciation, modifyLease remeasurement); leases.controller.ts (gl_post); bi.service.ts (lease_periodic_run); schema/leases.ts (leases, rou_nbv) + migration 0120/0121; cutover/basics.ts (ToE)</t>
        </is>
      </c>
      <c r="N107" s="16" t="inlineStr">
        <is>
          <t>Inspect PV recognition + periodic interest/payment/depreciation + final-period clearing + modification remeasurement.</t>
        </is>
      </c>
      <c r="O107" s="16" t="inlineStr">
        <is>
          <t>Commencement recognises ROU=liability=PV; periodic run posts interest+principal(=payment)+ROU depreciation; liability + ROU reduce; a modification remeasures the liability at the revised PV and adjusts the ROU by the same delta (Dr/Cr 1600↔2600), then depreciates over the remaining term (re-performed by the harness).</t>
        </is>
      </c>
      <c r="P107" s="16" t="inlineStr">
        <is>
          <t>Lease register; periodic run log; modification remeasurement</t>
        </is>
      </c>
      <c r="Q107" s="18" t="inlineStr">
        <is>
          <t>Implemented</t>
        </is>
      </c>
    </row>
    <row r="108">
      <c r="A108" s="11" t="inlineStr">
        <is>
          <t>REC-01</t>
        </is>
      </c>
      <c r="B108" s="12" t="inlineStr">
        <is>
          <t>Reconciliation</t>
        </is>
      </c>
      <c r="C108" s="13" t="inlineStr">
        <is>
          <t>Application</t>
        </is>
      </c>
      <c r="D108" s="12" t="inlineStr">
        <is>
          <t>All</t>
        </is>
      </c>
      <c r="E108" s="12" t="inlineStr">
        <is>
          <t>Subledgers diverge from GL undetected.</t>
        </is>
      </c>
      <c r="F108" s="12" t="inlineStr">
        <is>
          <t>Completeness/Accuracy</t>
        </is>
      </c>
      <c r="G108" s="12" t="inlineStr">
        <is>
          <t>Subledger-to-GL reconciliation per period: import GL, auto-match, certify (sign-off via 'approvals').</t>
        </is>
      </c>
      <c r="H108" s="13" t="inlineStr">
        <is>
          <t>Det</t>
        </is>
      </c>
      <c r="I108" s="13" t="inlineStr">
        <is>
          <t>Auto+Manual</t>
        </is>
      </c>
      <c r="J108" s="13" t="inlineStr">
        <is>
          <t>Monthly</t>
        </is>
      </c>
      <c r="K108" s="12" t="inlineStr">
        <is>
          <t>Controller</t>
        </is>
      </c>
      <c r="L108" s="13" t="inlineStr">
        <is>
          <t>P16</t>
        </is>
      </c>
      <c r="M108" s="12" t="inlineStr">
        <is>
          <t>reconciliation.service.ts (importGlItems/autoMatch/certify)</t>
        </is>
      </c>
      <c r="N108" s="12" t="inlineStr">
        <is>
          <t>Inspect recon + certify gate.</t>
        </is>
      </c>
      <c r="O108" s="12" t="inlineStr">
        <is>
          <t>Sample periods: reconciled, unmatched cleared, certified.</t>
        </is>
      </c>
      <c r="P108" s="12" t="inlineStr">
        <is>
          <t>Certified recon</t>
        </is>
      </c>
      <c r="Q108" s="18" t="inlineStr">
        <is>
          <t>Implemented</t>
        </is>
      </c>
    </row>
    <row r="109">
      <c r="A109" s="15" t="inlineStr">
        <is>
          <t>REC-02</t>
        </is>
      </c>
      <c r="B109" s="16" t="inlineStr">
        <is>
          <t>Reconciliation</t>
        </is>
      </c>
      <c r="C109" s="17" t="inlineStr">
        <is>
          <t>Application</t>
        </is>
      </c>
      <c r="D109" s="16" t="inlineStr">
        <is>
          <t>Cash</t>
        </is>
      </c>
      <c r="E109" s="16" t="inlineStr">
        <is>
          <t>Bank balance not reconciled to GL.</t>
        </is>
      </c>
      <c r="F109" s="16" t="inlineStr">
        <is>
          <t>Existence/Completeness</t>
        </is>
      </c>
      <c r="G109" s="16" t="inlineStr">
        <is>
          <t>Bank reconciliation against statements.</t>
        </is>
      </c>
      <c r="H109" s="17" t="inlineStr">
        <is>
          <t>Det</t>
        </is>
      </c>
      <c r="I109" s="17" t="inlineStr">
        <is>
          <t>Auto+Manual</t>
        </is>
      </c>
      <c r="J109" s="17" t="inlineStr">
        <is>
          <t>Monthly</t>
        </is>
      </c>
      <c r="K109" s="16" t="inlineStr">
        <is>
          <t>Controller</t>
        </is>
      </c>
      <c r="L109" s="17" t="inlineStr">
        <is>
          <t>P16</t>
        </is>
      </c>
      <c r="M109" s="16" t="inlineStr">
        <is>
          <t>bank module; drizzle/0015_bank_reconciliation</t>
        </is>
      </c>
      <c r="N109" s="16" t="inlineStr">
        <is>
          <t>Inspect bank-rec process.</t>
        </is>
      </c>
      <c r="O109" s="16" t="inlineStr">
        <is>
          <t>Sample months reconciled &amp; reviewed.</t>
        </is>
      </c>
      <c r="P109" s="16" t="inlineStr">
        <is>
          <t>Bank rec</t>
        </is>
      </c>
      <c r="Q109" s="18" t="inlineStr">
        <is>
          <t>Implemented</t>
        </is>
      </c>
    </row>
    <row r="110">
      <c r="A110" s="11" t="inlineStr">
        <is>
          <t>BANK-02</t>
        </is>
      </c>
      <c r="B110" s="12" t="inlineStr">
        <is>
          <t>Cash &amp; Treasury</t>
        </is>
      </c>
      <c r="C110" s="13" t="inlineStr">
        <is>
          <t>Application</t>
        </is>
      </c>
      <c r="D110" s="12" t="inlineStr">
        <is>
          <t>Cash; Operating expense; Interest income</t>
        </is>
      </c>
      <c r="E110" s="12" t="inlineStr">
        <is>
          <t>A bank fee/interest adjustment is posted straight to the GL by one person during reconciliation — a cash outflow mis-booked as interest income, or a fictitious fee posted, with no independent review (single-person posting to the cash account).</t>
        </is>
      </c>
      <c r="F110" s="12" t="inlineStr">
        <is>
          <t>Authorization/Accuracy</t>
        </is>
      </c>
      <c r="G110" s="12" t="inlineStr">
        <is>
          <t>Bank adjustment maker-checker (SoD): a fee/interest adjustment on a statement line is a REQUEST that posts a DRAFT JE (no balance/GL effect; the line stays unreconciled) until a DIFFERENT user with approval authority approves (POST /api/bank/lines/:id/adjustment/approve). Self-approval → SOD_VIOLATION (binds even Admin); approval flips the line to reconciled and the JE to Posted; reject voids the Draft and frees the line. The Draft JE (source BANKADJ) is also surfaced, aged, by the pending-approvals monitor (GOV-01).</t>
        </is>
      </c>
      <c r="H110" s="13" t="inlineStr">
        <is>
          <t>Prev</t>
        </is>
      </c>
      <c r="I110" s="13" t="inlineStr">
        <is>
          <t>Automated</t>
        </is>
      </c>
      <c r="J110" s="13" t="inlineStr">
        <is>
          <t>Per adjustment</t>
        </is>
      </c>
      <c r="K110" s="12" t="inlineStr">
        <is>
          <t>Controller</t>
        </is>
      </c>
      <c r="L110" s="13" t="inlineStr">
        <is>
          <t>P10</t>
        </is>
      </c>
      <c r="M110" s="12" t="inlineStr">
        <is>
          <t>bank.service.ts requestAdjustment/approveAdjustment/rejectAdjustment/listPendingAdjustments (reuses ledger.approveEntry SoD); bank.controller.ts (lines/:id/adjustment requests; adjustment/approve|reject gated approvals/gl_close); cutover/bankrec.ts (ToE)</t>
        </is>
      </c>
      <c r="N110" s="12" t="inlineStr">
        <is>
          <t>Inspect the request→approve flow + the approver≠requester check + that the Draft posts nothing until approval.</t>
        </is>
      </c>
      <c r="O110" s="12" t="inlineStr">
        <is>
          <t>Re-perform: request a fee adjustment (line unreconciled, GL difference unchanged), attempt self-approve (SOD_VIOLATION), approve as a different user; confirm the difference closes to 0 only after approval (re-performed by the bankrec harness).</t>
        </is>
      </c>
      <c r="P110" s="12" t="inlineStr">
        <is>
          <t>Bank adjustment queue + SoD test</t>
        </is>
      </c>
      <c r="Q110" s="18" t="inlineStr">
        <is>
          <t>Implemented</t>
        </is>
      </c>
    </row>
    <row r="111">
      <c r="A111" s="15" t="inlineStr">
        <is>
          <t>REC-03</t>
        </is>
      </c>
      <c r="B111" s="16" t="inlineStr">
        <is>
          <t>Reconciliation</t>
        </is>
      </c>
      <c r="C111" s="17" t="inlineStr">
        <is>
          <t>Application</t>
        </is>
      </c>
      <c r="D111" s="16" t="inlineStr">
        <is>
          <t>Consolidation</t>
        </is>
      </c>
      <c r="E111" s="16" t="inlineStr">
        <is>
          <t>Intercompany balances not eliminated/agreed.</t>
        </is>
      </c>
      <c r="F111" s="16" t="inlineStr">
        <is>
          <t>Accuracy</t>
        </is>
      </c>
      <c r="G111" s="16" t="inlineStr">
        <is>
          <t>Intercompany reconciliation &amp; elimination on consolidation.</t>
        </is>
      </c>
      <c r="H111" s="17" t="inlineStr">
        <is>
          <t>Det</t>
        </is>
      </c>
      <c r="I111" s="17" t="inlineStr">
        <is>
          <t>Auto+Manual</t>
        </is>
      </c>
      <c r="J111" s="17" t="inlineStr">
        <is>
          <t>Period</t>
        </is>
      </c>
      <c r="K111" s="16" t="inlineStr">
        <is>
          <t>Group Controller</t>
        </is>
      </c>
      <c r="L111" s="17" t="inlineStr">
        <is>
          <t>P16</t>
        </is>
      </c>
      <c r="M111" s="16" t="inlineStr">
        <is>
          <t>intercompany; consolidation</t>
        </is>
      </c>
      <c r="N111" s="16" t="inlineStr">
        <is>
          <t>Inspect IC matching + elimination.</t>
        </is>
      </c>
      <c r="O111" s="16" t="inlineStr">
        <is>
          <t>Sample IC pairs agree &amp; eliminate.</t>
        </is>
      </c>
      <c r="P111" s="16" t="inlineStr">
        <is>
          <t>IC recon</t>
        </is>
      </c>
      <c r="Q111" s="19" t="inlineStr">
        <is>
          <t>Partial</t>
        </is>
      </c>
    </row>
    <row r="112">
      <c r="A112" s="11" t="inlineStr">
        <is>
          <t>REC-04</t>
        </is>
      </c>
      <c r="B112" s="12" t="inlineStr">
        <is>
          <t>Reconciliation</t>
        </is>
      </c>
      <c r="C112" s="13" t="inlineStr">
        <is>
          <t>Application</t>
        </is>
      </c>
      <c r="D112" s="12" t="inlineStr">
        <is>
          <t>All control accounts</t>
        </is>
      </c>
      <c r="E112" s="12" t="inlineStr">
        <is>
          <t>A sub-ledger silently drifts from its GL control account at period-end and no single review catches it (incomplete/inaccurate balances reach the financial statements).</t>
        </is>
      </c>
      <c r="F112" s="12" t="inlineStr">
        <is>
          <t>Completeness/Accuracy</t>
        </is>
      </c>
      <c r="G112" s="12" t="inlineStr">
        <is>
          <t>Period-end control-account reconciliation PACK: one read (GET /api/finance/reconciliation/controls) ties every major sub-ledger to its GL control account and FLAGS any out-of-balance — AR↔1100, AP↔2000, Inventory↔1200, Gift cards/Customer-deposits↔2200, Deferred revenue↔2400 — reporting per line {sub_ledger, gl_control, variance, reconciled} plus an overall all_reconciled flag and an exceptions count. Liability controls are sign-flipped before comparison. The controller's single 'are the books reconciled?' close view; an exception is a control finding to investigate before sign-off.</t>
        </is>
      </c>
      <c r="H112" s="13" t="inlineStr">
        <is>
          <t>Det</t>
        </is>
      </c>
      <c r="I112" s="13" t="inlineStr">
        <is>
          <t>Automated</t>
        </is>
      </c>
      <c r="J112" s="13" t="inlineStr">
        <is>
          <t>Period / on demand</t>
        </is>
      </c>
      <c r="K112" s="12" t="inlineStr">
        <is>
          <t>Controller / CFO</t>
        </is>
      </c>
      <c r="L112" s="13" t="inlineStr">
        <is>
          <t>P16</t>
        </is>
      </c>
      <c r="M112" s="12" t="inlineStr">
        <is>
          <t>finance.service.ts reconcileControls; finance.controller.ts GET reconciliation/controls (exec/ar/creditors); reuses ledger.trialBalance + the AR/AP/inventory/gift-card/deferred sub-ledgers; cutover/giftcards.ts + compliance.ts (ToE)</t>
        </is>
      </c>
      <c r="N112" s="12" t="inlineStr">
        <is>
          <t>Inspect the pack: each control account's sub-ledger query + the GL tie + the exceptions roll-up.</t>
        </is>
      </c>
      <c r="O112" s="12" t="inlineStr">
        <is>
          <t>Re-perform: with a clean set, every line reconciled + all_reconciled=true; introduce a known sub-ledger/GL difference and confirm it surfaces as an exception (re-performed: gift-card 2200 + inventory 1200 ties asserted by the harnesses).</t>
        </is>
      </c>
      <c r="P112" s="12" t="inlineStr">
        <is>
          <t>Reconciliation pack; exceptions list</t>
        </is>
      </c>
      <c r="Q112" s="18" t="inlineStr">
        <is>
          <t>Implemented</t>
        </is>
      </c>
    </row>
    <row r="113">
      <c r="A113" s="15" t="inlineStr">
        <is>
          <t>REC-05</t>
        </is>
      </c>
      <c r="B113" s="16" t="inlineStr">
        <is>
          <t>Reconciliation</t>
        </is>
      </c>
      <c r="C113" s="17" t="inlineStr">
        <is>
          <t>Application</t>
        </is>
      </c>
      <c r="D113" s="16" t="inlineStr">
        <is>
          <t>Cash; Bank</t>
        </is>
      </c>
      <c r="E113" s="16" t="inlineStr">
        <is>
          <t>Till cash dropped to the safe never reaches the bank, or a deposit isn't matched to the statement — cash sits unbanked (theft/loss exposure) or the bank balance can't be tied to the books.</t>
        </is>
      </c>
      <c r="F113" s="16" t="inlineStr">
        <is>
          <t>Completeness/Existence/Authorization</t>
        </is>
      </c>
      <c r="G113" s="16" t="inlineStr">
        <is>
          <t>Cash banking — safe-drop → bank deposit → reconciliation: till 'drop's move cash from the drawer to the safe (drawer-only, no GL). Banking BATCHES the undeposited drops into a deposit and posts the GL (Dr &lt;bank account, e.g. 1010&gt; / Cr 1000 Cash), stamping each drop with the deposit id; the deposit is then RECONCILED to the bank statement (status Deposited→Reconciled). A detective read (GET /api/bank/deposits/undeposited-drops) surfaces the CASH STILL IN THE SAFE (drops with deposit_id NULL) — the unbanked exposure to chase. SoD: banking is a treasury duty (exec/ar) — segregated from the cashier (pos_till) who drops the cash, so the person who removes cash from the drawer is not the one who banks it.</t>
        </is>
      </c>
      <c r="H113" s="17" t="inlineStr">
        <is>
          <t>Det/Prev</t>
        </is>
      </c>
      <c r="I113" s="17" t="inlineStr">
        <is>
          <t>Auto+Manual</t>
        </is>
      </c>
      <c r="J113" s="17" t="inlineStr">
        <is>
          <t>Per banking run</t>
        </is>
      </c>
      <c r="K113" s="16" t="inlineStr">
        <is>
          <t>FinancialController / Treasury</t>
        </is>
      </c>
      <c r="L113" s="17" t="inlineStr">
        <is>
          <t>P16</t>
        </is>
      </c>
      <c r="M113" s="16" t="inlineStr">
        <is>
          <t>bank.service.ts undepositedDrops/createDeposit (Dr bank/Cr 1000, stamps deposit_id)/reconcileDeposit/listDeposits; bank.controller.ts (deposits, deposits/undeposited-drops, deposits/:id/reconcile; exec/ar); schema/cash.ts bank_deposits + cash_movements.deposit_id + migration 0152; /cash-banking UI; cutover/cash-banking.ts (ToE)</t>
        </is>
      </c>
      <c r="N113" s="16" t="inlineStr">
        <is>
          <t>Inspect the undeposited-drop exposure read + the deposit GL (bank↔1000) + the reconcile step + the SoD (cashier vs treasury).</t>
        </is>
      </c>
      <c r="O113" s="16" t="inlineStr">
        <is>
          <t>Re-perform: two till drops → cash-in-safe shows the total; a cashier (pos_till) cannot bank (403); treasury banks → Dr bank / Cr 1000, cash-in-safe back to 0; reconcile the deposit; trial balance balanced (re-performed by the cash-banking harness).</t>
        </is>
      </c>
      <c r="P113" s="16" t="inlineStr">
        <is>
          <t>Bank-deposit register; undeposited-drop (cash-in-safe) exposure</t>
        </is>
      </c>
      <c r="Q113" s="18" t="inlineStr">
        <is>
          <t>Implemented</t>
        </is>
      </c>
    </row>
    <row r="114">
      <c r="A114" s="11" t="inlineStr">
        <is>
          <t>GOV-01</t>
        </is>
      </c>
      <c r="B114" s="12" t="inlineStr">
        <is>
          <t>Monitoring</t>
        </is>
      </c>
      <c r="C114" s="13" t="inlineStr">
        <is>
          <t>Application</t>
        </is>
      </c>
      <c r="D114" s="12" t="inlineStr">
        <is>
          <t>All</t>
        </is>
      </c>
      <c r="E114" s="12" t="inlineStr">
        <is>
          <t>A maker-checker approval sits un-actioned and is forgotten — a transaction stalls before it is effective, or (worse) a control is quietly bypassed and no one notices an item never got its independent review.</t>
        </is>
      </c>
      <c r="F114" s="12" t="inlineStr">
        <is>
          <t>Authorization/Completeness</t>
        </is>
      </c>
      <c r="G114" s="12" t="inlineStr">
        <is>
          <t>Pending-approvals MONITOR (COSO monitoring): a single worklist of EVERY item awaiting independent approval across the system, each with its AGE in days and an overdue roll-up — spanning the manual-JE (GL-05), bank-adjustment (BANK-02), AP-disbursement (EXP-06), payroll (PAY-03), asset-revaluation (FA-08), asset-disposal (FA-09), inventory-write-off (INV-07), till-close cash over/short (REV-13), FX-rate (FX-04), budget (BUD-01) and large-refund (REV-16) maker-checkers. The controller reviews it before close; a stale item (age beyond the threshold) is a control finding to chase or escalate. The /approvals screen also lets a manager approve/reject a material till variance or a large refund inline (the pending types with no dedicated module screen). Read-only worklist; tenant-scoped via the caller's RLS.</t>
        </is>
      </c>
      <c r="H114" s="13" t="inlineStr">
        <is>
          <t>Det</t>
        </is>
      </c>
      <c r="I114" s="13" t="inlineStr">
        <is>
          <t>Automated</t>
        </is>
      </c>
      <c r="J114" s="13" t="inlineStr">
        <is>
          <t>Continuous / pre-close</t>
        </is>
      </c>
      <c r="K114" s="12" t="inlineStr">
        <is>
          <t>Controller / CFO</t>
        </is>
      </c>
      <c r="L114" s="13" t="inlineStr">
        <is>
          <t>P16</t>
        </is>
      </c>
      <c r="M114" s="12" t="inlineStr">
        <is>
          <t>finance.service.ts pendingApprovals; finance.controller.ts GET approvals/pending (exec/approvals/creditors); aggregates journalEntries(Draft incl. BANKADJ→BANK-02)/apPayments/payruns/asset_revaluations/fixed_assets(disposal_pending)/inv_writeoff_requests/till_sessions(PendingApproval)/fx_rates(PendingApproval)/budgets(PendingApproval); cutover/compliance.ts (ToE)</t>
        </is>
      </c>
      <c r="N114" s="12" t="inlineStr">
        <is>
          <t>Inspect the aggregation across all pending sources + the age/overdue roll-up.</t>
        </is>
      </c>
      <c r="O114" s="12" t="inlineStr">
        <is>
          <t>Re-perform: create a pending item (e.g. a Draft JE) and confirm it appears in the worklist with its control ID, amount and age; the overdue count flags items past the threshold (re-performed by the harness).</t>
        </is>
      </c>
      <c r="P114" s="12" t="inlineStr">
        <is>
          <t>Pending-approvals worklist</t>
        </is>
      </c>
      <c r="Q114" s="18" t="inlineStr">
        <is>
          <t>Implemented</t>
        </is>
      </c>
    </row>
    <row r="115">
      <c r="A115" s="15" t="inlineStr">
        <is>
          <t>TAX-01</t>
        </is>
      </c>
      <c r="B115" s="16" t="inlineStr">
        <is>
          <t>Tax</t>
        </is>
      </c>
      <c r="C115" s="17" t="inlineStr">
        <is>
          <t>Application</t>
        </is>
      </c>
      <c r="D115" s="16" t="inlineStr">
        <is>
          <t>Tax (VAT)</t>
        </is>
      </c>
      <c r="E115" s="16" t="inlineStr">
        <is>
          <t>VAT computed incorrectly → filing/penalty risk.</t>
        </is>
      </c>
      <c r="F115" s="16" t="inlineStr">
        <is>
          <t>Accuracy</t>
        </is>
      </c>
      <c r="G115" s="16" t="inlineStr">
        <is>
          <t>VAT via pluggable provider (TH 7%); unit-tested; no hard-coded rate.</t>
        </is>
      </c>
      <c r="H115" s="17" t="inlineStr">
        <is>
          <t>Auto</t>
        </is>
      </c>
      <c r="I115" s="17" t="inlineStr">
        <is>
          <t>Automated</t>
        </is>
      </c>
      <c r="J115" s="17" t="inlineStr">
        <is>
          <t>Per txn</t>
        </is>
      </c>
      <c r="K115" s="16" t="inlineStr">
        <is>
          <t>Tax / Controller</t>
        </is>
      </c>
      <c r="L115" s="17" t="inlineStr">
        <is>
          <t>P10</t>
        </is>
      </c>
      <c r="M115" s="16" t="inlineStr">
        <is>
          <t>tax/tax-providers.ts; tax.service.ts; test/unit.test.ts</t>
        </is>
      </c>
      <c r="N115" s="16" t="inlineStr">
        <is>
          <t>Inspect rate provider + tests.</t>
        </is>
      </c>
      <c r="O115" s="16" t="inlineStr">
        <is>
          <t>Re-perform VAT on sample; tie to return.</t>
        </is>
      </c>
      <c r="P115" s="16" t="inlineStr">
        <is>
          <t>VAT tests</t>
        </is>
      </c>
      <c r="Q115" s="18" t="inlineStr">
        <is>
          <t>Implemented</t>
        </is>
      </c>
    </row>
    <row r="116">
      <c r="A116" s="11" t="inlineStr">
        <is>
          <t>TAX-02</t>
        </is>
      </c>
      <c r="B116" s="12" t="inlineStr">
        <is>
          <t>Tax</t>
        </is>
      </c>
      <c r="C116" s="13" t="inlineStr">
        <is>
          <t>Application</t>
        </is>
      </c>
      <c r="D116" s="12" t="inlineStr">
        <is>
          <t>Tax; Revenue</t>
        </is>
      </c>
      <c r="E116" s="12" t="inlineStr">
        <is>
          <t>Non-compliant e-Tax invoice / not transmitted to ETDA.</t>
        </is>
      </c>
      <c r="F116" s="12" t="inlineStr">
        <is>
          <t>Accuracy/Compliance</t>
        </is>
      </c>
      <c r="G116" s="12" t="inlineStr">
        <is>
          <t>e-Tax invoice (ETDA UBL 2.1 XML) generation + email with CC to ETDA timestamp mailbox.</t>
        </is>
      </c>
      <c r="H116" s="13" t="inlineStr">
        <is>
          <t>Auto</t>
        </is>
      </c>
      <c r="I116" s="13" t="inlineStr">
        <is>
          <t>Automated</t>
        </is>
      </c>
      <c r="J116" s="13" t="inlineStr">
        <is>
          <t>Per invoice</t>
        </is>
      </c>
      <c r="K116" s="12" t="inlineStr">
        <is>
          <t>Tax</t>
        </is>
      </c>
      <c r="L116" s="13" t="inlineStr">
        <is>
          <t>P10/P13</t>
        </is>
      </c>
      <c r="M116" s="12" t="inlineStr">
        <is>
          <t>tax-docs/etax-xml.ts; etax-email.service.ts (tested)</t>
        </is>
      </c>
      <c r="N116" s="12" t="inlineStr">
        <is>
          <t>Inspect XML schema + email composer.</t>
        </is>
      </c>
      <c r="O116" s="12" t="inlineStr">
        <is>
          <t>Sample invoices: valid XML, correct CC/escaping.</t>
        </is>
      </c>
      <c r="P116" s="12" t="inlineStr">
        <is>
          <t>e-Tax samples</t>
        </is>
      </c>
      <c r="Q116" s="18" t="inlineStr">
        <is>
          <t>Implemented</t>
        </is>
      </c>
    </row>
    <row r="117">
      <c r="A117" s="15" t="inlineStr">
        <is>
          <t>TAX-03</t>
        </is>
      </c>
      <c r="B117" s="16" t="inlineStr">
        <is>
          <t>Tax</t>
        </is>
      </c>
      <c r="C117" s="17" t="inlineStr">
        <is>
          <t>Application</t>
        </is>
      </c>
      <c r="D117" s="16" t="inlineStr">
        <is>
          <t>Tax (WHT)</t>
        </is>
      </c>
      <c r="E117" s="16" t="inlineStr">
        <is>
          <t>Withholding tax mis-computed / not reported.</t>
        </is>
      </c>
      <c r="F117" s="16" t="inlineStr">
        <is>
          <t>Accuracy</t>
        </is>
      </c>
      <c r="G117" s="16" t="inlineStr">
        <is>
          <t>WHT computation and ภ.ง.ด. reporting.</t>
        </is>
      </c>
      <c r="H117" s="17" t="inlineStr">
        <is>
          <t>Auto</t>
        </is>
      </c>
      <c r="I117" s="17" t="inlineStr">
        <is>
          <t>Automated</t>
        </is>
      </c>
      <c r="J117" s="17" t="inlineStr">
        <is>
          <t>Per txn / monthly</t>
        </is>
      </c>
      <c r="K117" s="16" t="inlineStr">
        <is>
          <t>Tax</t>
        </is>
      </c>
      <c r="L117" s="17" t="inlineStr">
        <is>
          <t>P10</t>
        </is>
      </c>
      <c r="M117" s="16" t="inlineStr">
        <is>
          <t>tax-reports; payroll</t>
        </is>
      </c>
      <c r="N117" s="16" t="inlineStr">
        <is>
          <t>Inspect WHT logic + report.</t>
        </is>
      </c>
      <c r="O117" s="16" t="inlineStr">
        <is>
          <t>Re-perform WHT on sample; tie to filing.</t>
        </is>
      </c>
      <c r="P117" s="16" t="inlineStr">
        <is>
          <t>WHT report</t>
        </is>
      </c>
      <c r="Q117" s="19" t="inlineStr">
        <is>
          <t>Partial</t>
        </is>
      </c>
    </row>
    <row r="118">
      <c r="A118" s="11" t="inlineStr">
        <is>
          <t>TAX-04</t>
        </is>
      </c>
      <c r="B118" s="12" t="inlineStr">
        <is>
          <t>Tax</t>
        </is>
      </c>
      <c r="C118" s="13" t="inlineStr">
        <is>
          <t>Application</t>
        </is>
      </c>
      <c r="D118" s="12" t="inlineStr">
        <is>
          <t>Tax (VAT); Tax Payable (2100)</t>
        </is>
      </c>
      <c r="E118" s="12" t="inlineStr">
        <is>
          <t>Output/input VAT on the filed ภ.พ.30 return does not agree to the GL — VAT liability mis-stated, a filing/penalty exposure, or a posting omission goes undetected before submission.</t>
        </is>
      </c>
      <c r="F118" s="12" t="inlineStr">
        <is>
          <t>Completeness/Accuracy</t>
        </is>
      </c>
      <c r="G118" s="12" t="inlineStr">
        <is>
          <t>Periodic VAT-return ↔ GL reconciliation (ภ.พ.30): the monthly return (GET /api/tax-reports/pp30) is built from the sales/output-VAT and purchase/input-VAT sub-reports, computes net VAT = output − input, and RECONCILES it to the **GL account 2100 (Tax Payable) net movement** for the same period (Σ credit − Σ debit over Posted entries) — returning `reconciliation.tied` = true only when the two agree within rounding. A non-tie is a detective finding to investigate and clear BEFORE filing (the form also carries the ม.157 deadline = the 15th of the next month). Output VAT is posted to 2100 on every sale (Cr) and reversed on returns (Dr); input VAT is posted on AP bills (Dr) — so 2100's net is the period's VAT payable. Read-only report; exportable to a ภ.พ.30 PDF/HTML.</t>
        </is>
      </c>
      <c r="H118" s="13" t="inlineStr">
        <is>
          <t>Det</t>
        </is>
      </c>
      <c r="I118" s="13" t="inlineStr">
        <is>
          <t>Automated</t>
        </is>
      </c>
      <c r="J118" s="13" t="inlineStr">
        <is>
          <t>Monthly / pre-filing</t>
        </is>
      </c>
      <c r="K118" s="12" t="inlineStr">
        <is>
          <t>Tax / FinancialController</t>
        </is>
      </c>
      <c r="L118" s="13" t="inlineStr">
        <is>
          <t>P10/P16</t>
        </is>
      </c>
      <c r="M118" s="12" t="inlineStr">
        <is>
          <t>tax-reports.service.ts pp30 (outputVat/inputVat + 2100 net-movement tie); tax-reports.controller.ts (GET pp30, pp30/export, exec); tax-reports-pdf.ts; dine-in.service.ts/returns.service.ts/finance.service.ts post 2100 on sale/return/AP; /tax/reports UI; cutover/taxdocs.ts (ToE)</t>
        </is>
      </c>
      <c r="N118" s="12" t="inlineStr">
        <is>
          <t>Inspect the pp30 build + the 2100 net-movement query + the tie flag + the filing deadline.</t>
        </is>
      </c>
      <c r="O118" s="12" t="inlineStr">
        <is>
          <t>Re-perform: the pp30 return computes net VAT (output − input), the GL 2100 net movement reflects the posted input VAT, and the reconciliation block exposes the gl_account (2100), the report net VAT and a boolean tie verdict (tied iff the two agree within rounding); the ภ.พ.30 export renders (re-performed by the taxdocs harness).</t>
        </is>
      </c>
      <c r="P118" s="12" t="inlineStr">
        <is>
          <t>ภ.พ.30 return + GL-2100 reconciliation tie</t>
        </is>
      </c>
      <c r="Q118" s="18" t="inlineStr">
        <is>
          <t>Implemented</t>
        </is>
      </c>
    </row>
    <row r="119">
      <c r="A119" s="15" t="inlineStr">
        <is>
          <t>TAX-05</t>
        </is>
      </c>
      <c r="B119" s="16" t="inlineStr">
        <is>
          <t>Tax</t>
        </is>
      </c>
      <c r="C119" s="17" t="inlineStr">
        <is>
          <t>Application</t>
        </is>
      </c>
      <c r="D119" s="16" t="inlineStr">
        <is>
          <t>Tax (VAT/WHT)</t>
        </is>
      </c>
      <c r="E119" s="16" t="inlineStr">
        <is>
          <t>A return is computed but there is no evidence it was actually FILED — no record of the figures as filed, the submission date or the Revenue-Department reference — so a missed or late filing (penalty/surcharge exposure) is not detected, and a filed return can be silently recomputed/altered after submission.</t>
        </is>
      </c>
      <c r="F119" s="16" t="inlineStr">
        <is>
          <t>Completeness/Accuracy/Cutoff</t>
        </is>
      </c>
      <c r="G119" s="16" t="inlineStr">
        <is>
          <t>Thai tax filing register + remittance calendar: a computed ภ.พ.30 (PP30) or ภ.ง.ด.3/53 (PND) return is SNAPSHOTTED into a thai_tax_filings record (one per tenant/type/period) carrying the figures as filed (output/input/net VAT, tax withheld) and a DRAFT→SUBMITTED→ACCEPTED lifecycle. Filing is idempotent per period; submitting REQUIRES a Revenue-Department submission reference (SUBMISSION_REF_REQUIRED) and stamps SUBMITTED + the timestamp; an already-filed (SUBMITTED/ACCEPTED) period is NOT silently overwritten when re-filed (returned as-is, already_filed=true). A remittance calendar (GET /api/tax-reports/remittance-calendar) lists every monthly obligation (ภ.พ.30 by the 15th, ภ.ง.ด. by the 7th of the following month) with its current status (NOT_FILED/DRAFT/SUBMITTED/ACCEPTED), so the controller sees what is due/filed/late before the deadline. Tenant-scoped (RLS); gated exec.</t>
        </is>
      </c>
      <c r="H119" s="17" t="inlineStr">
        <is>
          <t>Det/Prev</t>
        </is>
      </c>
      <c r="I119" s="17" t="inlineStr">
        <is>
          <t>Auto+Manual</t>
        </is>
      </c>
      <c r="J119" s="17" t="inlineStr">
        <is>
          <t>Monthly / per filing</t>
        </is>
      </c>
      <c r="K119" s="16" t="inlineStr">
        <is>
          <t>Tax / FinancialController</t>
        </is>
      </c>
      <c r="L119" s="17" t="inlineStr">
        <is>
          <t>P10/P16</t>
        </is>
      </c>
      <c r="M119" s="16" t="inlineStr">
        <is>
          <t>tax-reports.service.ts fileReturn (snapshots pp30/pnd into a DRAFT, idempotent per period; no overwrite of a filed return) / submitFiling (SUBMISSION_REF_REQUIRED → SUBMITTED) / acceptFiling / listFilings / remittanceCalendar; tax-reports.controller.ts (POST filings[/:id/submit|accept], GET filings, remittance-calendar, exec); schema/tax-docs.ts thai_tax_filings + migration 0165; /tax/reports filings &amp; calendar tab; cutover/taxdocs.ts (ToE)</t>
        </is>
      </c>
      <c r="N119" s="16" t="inlineStr">
        <is>
          <t>Inspect the filing snapshot + the DRAFT→SUBMITTED→ACCEPTED lifecycle + the mandatory submission reference + the no-overwrite-of-a-filed-return rule + the deadline calendar.</t>
        </is>
      </c>
      <c r="O119" s="16" t="inlineStr">
        <is>
          <t>Re-perform: file PP30 → DRAFT with the period figures; re-file refreshes the same DRAFT (idempotent); submit without a reference → 400; submit with a reference → SUBMITTED + timestamp; accept → ACCEPTED; re-filing an accepted period returns it (already_filed); the remittance calendar shows the period ACCEPTED with the 15th-of-next-month deadline (re-performed by the taxdocs harness).</t>
        </is>
      </c>
      <c r="P119" s="16" t="inlineStr">
        <is>
          <t>thai_tax_filings register + remittance calendar</t>
        </is>
      </c>
      <c r="Q119" s="18" t="inlineStr">
        <is>
          <t>Implemented</t>
        </is>
      </c>
    </row>
    <row r="120">
      <c r="A120" s="11" t="inlineStr">
        <is>
          <t>TAX-06</t>
        </is>
      </c>
      <c r="B120" s="12" t="inlineStr">
        <is>
          <t>Tax</t>
        </is>
      </c>
      <c r="C120" s="13" t="inlineStr">
        <is>
          <t>Application</t>
        </is>
      </c>
      <c r="D120" s="12" t="inlineStr">
        <is>
          <t>Deferred Tax Asset (1700); Deferred Tax Liability (2700); Deferred Tax Expense (5950)</t>
        </is>
      </c>
      <c r="E120" s="12" t="inlineStr">
        <is>
          <t>Book-vs-tax TEMPORARY differences (the AR allowance, accelerated depreciation, accruals) are not recognised as deferred tax, or the deferred-tax entry is computed and posted by one person with no review — income tax expense and the deferred tax asset/liability are mis-stated (TAS 12 / TFRS).</t>
        </is>
      </c>
      <c r="F120" s="12" t="inlineStr">
        <is>
          <t>Accuracy/Valuation/Completeness/Authorization/Segregation of Duties</t>
        </is>
      </c>
      <c r="G120" s="12" t="inlineStr">
        <is>
          <t>Deferred tax (TAS 12, maker-checker, idempotent per (tenant, period)): POST /api/ledger/deferred-tax/run gathers temporary differences — the latest POSTED AR allowance (a DEDUCTIBLE temp diff → DTA = allowance × CIT) and accelerated depreciation (book NBV vs an assumed tax NBV; a TAXABLE temp diff → DTL = (bookNBV − taxNBV) × CIT) — computes net_deferred = DTA − DTL and the DELTA vs the prior posted run, staging an 'Open' deferred_tax_runs row (one per tenant/period; a Posted period → ALREADY_POSTED). CIT rate defaults to 0.20 (Thai). SIMPLIFICATION: no parallel tax-depreciation ledger exists, so tax depreciation is assumed FASTER than book by a documented factor (default 1.5×, capped at the depreciable base) — overridable per run; a deliberate approximation until a tax-dep ledger is modelled. POST /api/ledger/deferred-tax/:id/post is segregated (poster ≠ runner → SELF_POST) and posts the period DELTA via LedgerService.postEntry (delta&gt;0 net asset up = deferred tax benefit → Dr 1700 / Cr 5950; delta&lt;0 → Dr 5950 / Cr 1700), so PERIOD_LOCKED + the GL audit trail apply. Marks the run Posted.</t>
        </is>
      </c>
      <c r="H120" s="13" t="inlineStr">
        <is>
          <t>Prev</t>
        </is>
      </c>
      <c r="I120" s="13" t="inlineStr">
        <is>
          <t>Automated</t>
        </is>
      </c>
      <c r="J120" s="13" t="inlineStr">
        <is>
          <t>Quarterly / year-end</t>
        </is>
      </c>
      <c r="K120" s="12" t="inlineStr">
        <is>
          <t>Tax / Financial Controller</t>
        </is>
      </c>
      <c r="L120" s="13" t="inlineStr">
        <is>
          <t>P10</t>
        </is>
      </c>
      <c r="M120" s="12" t="inlineStr">
        <is>
          <t>deferred-tax.service.ts (runDeferredTax gather temp diffs [AR allowance, accelerated dep] + delta-vs-prior + stage Open, idempotent ALREADY_POSTED; postDeferredTax SELF_POST maker-checker + 1700/5950 delta posting; list/get); deferred-tax.controller.ts (gl_close/gl_post run + :id/post, gl_close/gl_post/exec read); schema/deferred-tax-fx.ts (deferred_tax_runs, uq tenant/period); migration 0168 (tables + RLS); COA 1700/2700/5950 (seedChartOfAccounts); ledger.module.ts (wired); close.service.ts (deferred_tax close-checklist step); reuses ar_allowance (REV-18) + fixed_assets NBV; cutover/basics.ts (TAX-06 ToE)</t>
        </is>
      </c>
      <c r="N120" s="12" t="inlineStr">
        <is>
          <t>Inspect the temp-difference gathering (allowance×rate DTA + accelerated-dep DTL with the documented tax-dep simplification), the delta-vs-prior-run, the SELF_POST maker-checker, and the 1700/5950 posting through the period-lock gate.</t>
        </is>
      </c>
      <c r="O120" s="12" t="inlineStr">
        <is>
          <t>TC-TAX-06-01: run with a posted AR allowance of 1100 at 20% → DTA 220, net deferred asset 220, delta 220 (Open); TC-TAX-06-02: runner self-post → SELF_POST (403), a different user posts → Dr 1700 / Cr 5950 (220), re-post → ALREADY_POSTED (400) (re-performed by the basics.ts harness).</t>
        </is>
      </c>
      <c r="P120" s="12" t="inlineStr">
        <is>
          <t>deferred_tax_runs register (Open→Posted, temp-difference schedule, runner/poster); the DEFTAX JE to 1700/5950; quarterly/year-end deferred-tax sign-off</t>
        </is>
      </c>
      <c r="Q120" s="18" t="inlineStr">
        <is>
          <t>Implemented</t>
        </is>
      </c>
    </row>
    <row r="121">
      <c r="A121" s="15" t="inlineStr">
        <is>
          <t>PAY-01</t>
        </is>
      </c>
      <c r="B121" s="16" t="inlineStr">
        <is>
          <t>Payroll</t>
        </is>
      </c>
      <c r="C121" s="17" t="inlineStr">
        <is>
          <t>Application</t>
        </is>
      </c>
      <c r="D121" s="16" t="inlineStr">
        <is>
          <t>Payroll expense/liability</t>
        </is>
      </c>
      <c r="E121" s="16" t="inlineStr">
        <is>
          <t>Payroll, SSO and PIT mis-computed.</t>
        </is>
      </c>
      <c r="F121" s="16" t="inlineStr">
        <is>
          <t>Accuracy</t>
        </is>
      </c>
      <c r="G121" s="16" t="inlineStr">
        <is>
          <t>Payroll engine — SSO 5% (cap 750), progressive PIT, payslip net; unit-tested.</t>
        </is>
      </c>
      <c r="H121" s="17" t="inlineStr">
        <is>
          <t>Auto</t>
        </is>
      </c>
      <c r="I121" s="17" t="inlineStr">
        <is>
          <t>Automated</t>
        </is>
      </c>
      <c r="J121" s="17" t="inlineStr">
        <is>
          <t>Per run</t>
        </is>
      </c>
      <c r="K121" s="16" t="inlineStr">
        <is>
          <t>HR / Payroll</t>
        </is>
      </c>
      <c r="L121" s="17" t="inlineStr">
        <is>
          <t>P10</t>
        </is>
      </c>
      <c r="M121" s="16" t="inlineStr">
        <is>
          <t>payroll/payroll-calc.ts; test/unit.test.ts</t>
        </is>
      </c>
      <c r="N121" s="16" t="inlineStr">
        <is>
          <t>Inspect calc + tests.</t>
        </is>
      </c>
      <c r="O121" s="16" t="inlineStr">
        <is>
          <t>Re-perform sample payslips.</t>
        </is>
      </c>
      <c r="P121" s="16" t="inlineStr">
        <is>
          <t>Payslip tests</t>
        </is>
      </c>
      <c r="Q121" s="18" t="inlineStr">
        <is>
          <t>Implemented</t>
        </is>
      </c>
    </row>
    <row r="122">
      <c r="A122" s="11" t="inlineStr">
        <is>
          <t>PAY-02</t>
        </is>
      </c>
      <c r="B122" s="12" t="inlineStr">
        <is>
          <t>Payroll</t>
        </is>
      </c>
      <c r="C122" s="13" t="inlineStr">
        <is>
          <t>Application</t>
        </is>
      </c>
      <c r="D122" s="12" t="inlineStr">
        <is>
          <t>Payroll liability</t>
        </is>
      </c>
      <c r="E122" s="12" t="inlineStr">
        <is>
          <t>Statutory withholdings (SSO/WHT/PF) mis-stated or not remitted, so the liability owed to the authorities diverges from the books.</t>
        </is>
      </c>
      <c r="F122" s="12" t="inlineStr">
        <is>
          <t>Accuracy/Compliance</t>
        </is>
      </c>
      <c r="G122" s="12" t="inlineStr">
        <is>
          <t>Payroll-liability schedule (GET /api/payroll/liabilities): each statutory account — SSO 2350, WHT/PND1 2360, PF 2370 — shows accrued (GL credits) − remitted (GL debits) = outstanding, tied back to the INDEPENDENT payrun accrual with a `reconciled` flag (a divergence flags a manual JE that touched a payroll-liability account outside the payroll process). Treasury remits the cash (POST .../remit → Dr liability / Cr 1000) which clears the outstanding and keeps the books reconciled to the statutory filings; a remittance beyond the outstanding is blocked (REMIT_EXCEEDS_OUTSTANDING).</t>
        </is>
      </c>
      <c r="H122" s="13" t="inlineStr">
        <is>
          <t>Det</t>
        </is>
      </c>
      <c r="I122" s="13" t="inlineStr">
        <is>
          <t>Automated</t>
        </is>
      </c>
      <c r="J122" s="13" t="inlineStr">
        <is>
          <t>Per run / monthly</t>
        </is>
      </c>
      <c r="K122" s="12" t="inlineStr">
        <is>
          <t>HR / Payroll / Treasury</t>
        </is>
      </c>
      <c r="L122" s="13" t="inlineStr">
        <is>
          <t>P10</t>
        </is>
      </c>
      <c r="M122" s="12" t="inlineStr">
        <is>
          <t>payroll/payroll.service.ts liabilities/remitLiability</t>
        </is>
      </c>
      <c r="N122" s="12" t="inlineStr">
        <is>
          <t>Inspect the schedule + the accrued/remitted/outstanding tie-out and the reconciled flag.</t>
        </is>
      </c>
      <c r="O122" s="12" t="inlineStr">
        <is>
          <t>Re-perform: run a payroll, confirm the SSO/WHT outstanding equals the payrun accrual; remit part and confirm the outstanding falls and the TB stays balanced; attempt an over-remit (REMIT_EXCEEDS_OUTSTANDING).</t>
        </is>
      </c>
      <c r="P122" s="12" t="inlineStr">
        <is>
          <t>Liability schedule + remittance JEs tied to filings</t>
        </is>
      </c>
      <c r="Q122" s="18" t="inlineStr">
        <is>
          <t>Implemented</t>
        </is>
      </c>
    </row>
    <row r="123">
      <c r="A123" s="15" t="inlineStr">
        <is>
          <t>PAY-03</t>
        </is>
      </c>
      <c r="B123" s="16" t="inlineStr">
        <is>
          <t>Payroll</t>
        </is>
      </c>
      <c r="C123" s="17" t="inlineStr">
        <is>
          <t>Application</t>
        </is>
      </c>
      <c r="D123" s="16" t="inlineStr">
        <is>
          <t>Payroll expense/liability; Cash</t>
        </is>
      </c>
      <c r="E123" s="16" t="inlineStr">
        <is>
          <t>Payroll run posted to the GL without independent review — the preparer both computes and posts their own payroll (ghost employees, inflated rate/hours).</t>
        </is>
      </c>
      <c r="F123" s="16" t="inlineStr">
        <is>
          <t>Authorization</t>
        </is>
      </c>
      <c r="G123" s="16" t="inlineStr">
        <is>
          <t>Payroll maker-checker (SoD): a run posts its GL entry as a DRAFT (excluded from balances) with the run record 'PendingApproval'; a DIFFERENT user must approve before it becomes effective (approver ≠ preparer enforced regardless of permissions, reusing the GL-05 ledger approval). Reject voids the draft; idempotent per (tenant, period).</t>
        </is>
      </c>
      <c r="H123" s="17" t="inlineStr">
        <is>
          <t>Prev</t>
        </is>
      </c>
      <c r="I123" s="17" t="inlineStr">
        <is>
          <t>Automated</t>
        </is>
      </c>
      <c r="J123" s="17" t="inlineStr">
        <is>
          <t>Per run</t>
        </is>
      </c>
      <c r="K123" s="16" t="inlineStr">
        <is>
          <t>HR / Payroll; Controller</t>
        </is>
      </c>
      <c r="L123" s="17" t="inlineStr">
        <is>
          <t>P10</t>
        </is>
      </c>
      <c r="M123" s="16" t="inlineStr">
        <is>
          <t>payroll/payroll.service.ts approvePayroll/rejectPayroll; migration 0133</t>
        </is>
      </c>
      <c r="N123" s="16" t="inlineStr">
        <is>
          <t>Inspect Draft→approve flow + the approver≠preparer check.</t>
        </is>
      </c>
      <c r="O123" s="16" t="inlineStr">
        <is>
          <t>Re-perform: run as A, attempt self-approve (SOD_VIOLATION), approve as B; confirm the JE hits balances only after approval.</t>
        </is>
      </c>
      <c r="P123" s="16" t="inlineStr">
        <is>
          <t>Approval log + SoD test</t>
        </is>
      </c>
      <c r="Q123" s="18" t="inlineStr">
        <is>
          <t>Implemented</t>
        </is>
      </c>
    </row>
    <row r="124">
      <c r="A124" s="11" t="inlineStr">
        <is>
          <t>PAY-04</t>
        </is>
      </c>
      <c r="B124" s="12" t="inlineStr">
        <is>
          <t>Payroll</t>
        </is>
      </c>
      <c r="C124" s="13" t="inlineStr">
        <is>
          <t>Application</t>
        </is>
      </c>
      <c r="D124" s="12" t="inlineStr">
        <is>
          <t>Payroll expense; Labor cost</t>
        </is>
      </c>
      <c r="E124" s="12" t="inlineStr">
        <is>
          <t>Overtime is paid at a single flat multiplier with no holiday/night tiers and no statutory cap (Thai LPA OT is mis-paid — too little on holidays, or beyond the 48h/week limit), AND labor cost runs over target as a % of sales with nothing flagging it — margin erosion goes unnoticed until payroll posts.</t>
        </is>
      </c>
      <c r="F124" s="12" t="inlineStr">
        <is>
          <t>Accuracy/Completeness</t>
        </is>
      </c>
      <c r="G124" s="12" t="inlineStr">
        <is>
          <t>Tiered OT rules engine + labor-% alerting: a per-tenant labor_ot_rules table overrides the Thai LPA statutory defaults (REGULAR_OT 1.5x beyond 8h/day, HOLIDAY 2x, HOLIDAY_OT 3x, NIGHT 1.0x tracked; 48h/week cap) — GET/PUT /api/pos/labor/ot-rules. computeOtPay (POST /api/pos/labor/ot-pay) applies the tier's multiplier and CAPS paid hours at the 48h weekly limit, flagging any over-cap hours (over_cap=true) rather than silently paying them. Separately, POST /api/pos/labor/labor-alert/check computes labor % of sales for a period and, when it exceeds the target (default 35%), persists a LABOR_PCT_EXCEEDED alert (idempotent per period) surfaced on GET /api/pos/labor/alerts for the manager to act on / resolve. Tenant-scoped (RLS); gated pos/users/exec. Operational (no GL).</t>
        </is>
      </c>
      <c r="H124" s="13" t="inlineStr">
        <is>
          <t>Det/Prev</t>
        </is>
      </c>
      <c r="I124" s="13" t="inlineStr">
        <is>
          <t>Auto+Manual</t>
        </is>
      </c>
      <c r="J124" s="13" t="inlineStr">
        <is>
          <t>Per shift / payroll cycle</t>
        </is>
      </c>
      <c r="K124" s="12" t="inlineStr">
        <is>
          <t>HR / Store Ops Mgr</t>
        </is>
      </c>
      <c r="L124" s="13" t="inlineStr">
        <is>
          <t>P10/P13</t>
        </is>
      </c>
      <c r="M124" s="12" t="inlineStr">
        <is>
          <t>pos-loyalty-labor/schedule.service.ts getOtRules/upsertOtRule (Thai defaults overlay) + computeOtPay (tier multiplier + 48h cap, over_cap flag) + checkLaborAlert/listAlerts/resolveAlert; pos-loyalty-labor.controller.ts (ot-rules, ot-pay, labor-alert/check, alerts[/:id/resolve]); schema/pos-scale.ts labor_ot_rules + labor_alerts + migration 0167; /scheduling UI; cutover/scheduling.ts (ToE)</t>
        </is>
      </c>
      <c r="N124" s="12" t="inlineStr">
        <is>
          <t>Inspect the statutory-default overlay, the tier multipliers, the 48h cap + over_cap flag, and the labor-% threshold alert (raise/idempotent/resolve).</t>
        </is>
      </c>
      <c r="O124" s="12" t="inlineStr">
        <is>
          <t>Re-perform: OT rules expose Thai defaults (1.5/2/3/1.0, cap 48); override REGULAR_OT to 2.0; HOLIDAY_OT 2h x 100 x 3 = 600; a 5h OT entry at 47h already-worked pays only 1h + flags 4h over-cap; labor 8% vs a 5% target raises an alert (idempotent), vs a 50% target raises none; resolve clears it (re-performed by the scheduling harness).</t>
        </is>
      </c>
      <c r="P124" s="12" t="inlineStr">
        <is>
          <t>labor_ot_rules + labor_alerts register; OT/labor-% test</t>
        </is>
      </c>
      <c r="Q124" s="18" t="inlineStr">
        <is>
          <t>Implemented</t>
        </is>
      </c>
    </row>
    <row r="125">
      <c r="A125" s="15" t="inlineStr">
        <is>
          <t>FA-09</t>
        </is>
      </c>
      <c r="B125" s="16" t="inlineStr">
        <is>
          <t>Fixed Assets</t>
        </is>
      </c>
      <c r="C125" s="17" t="inlineStr">
        <is>
          <t>Application</t>
        </is>
      </c>
      <c r="D125" s="16" t="inlineStr">
        <is>
          <t>Property, Plant &amp; Equipment; Cash</t>
        </is>
      </c>
      <c r="E125" s="16" t="inlineStr">
        <is>
          <t>Asset disposed without independent review — one person writes an asset off the books and records the proceeds (asset-stripping / theft: dispose a still-held asset, or to a related party below value).</t>
        </is>
      </c>
      <c r="F125" s="16" t="inlineStr">
        <is>
          <t>Authorization</t>
        </is>
      </c>
      <c r="G125" s="16" t="inlineStr">
        <is>
          <t>Asset-disposal maker-checker (SoD): a disposal REQUEST posts its GL entry as a DRAFT (excluded from balances) and flags the asset disposal_pending WITHOUT marking it disposed or moving the register; a DIFFERENT user must approve before it is effective (status→disposed, revaluation surplus recycled 3200→3100) (approver ≠ requester enforced regardless of permissions, reusing the GL-05 ledger approval). Reject voids the draft and the asset stays in service; only one disposal may be pending per asset; a disposal-pending asset is frozen from depreciation.</t>
        </is>
      </c>
      <c r="H125" s="17" t="inlineStr">
        <is>
          <t>Prev</t>
        </is>
      </c>
      <c r="I125" s="17" t="inlineStr">
        <is>
          <t>Automated</t>
        </is>
      </c>
      <c r="J125" s="17" t="inlineStr">
        <is>
          <t>Per disposal</t>
        </is>
      </c>
      <c r="K125" s="16" t="inlineStr">
        <is>
          <t>FaAccountant / Controller</t>
        </is>
      </c>
      <c r="L125" s="17" t="inlineStr">
        <is>
          <t>P10</t>
        </is>
      </c>
      <c r="M125" s="16" t="inlineStr">
        <is>
          <t>assets.service.ts dispose(pendingApproval Draft)/approveDisposal/rejectDisposal; assets.controller.ts (:assetNo/dispose/approve|reject); schema/assets.ts fixed_assets.disposal_pending + migration 0135; cutover/basics.ts + worldclass.ts + compliance.ts (ToE)</t>
        </is>
      </c>
      <c r="N125" s="16" t="inlineStr">
        <is>
          <t>Inspect Draft→approve flow + the approver≠requester check + deferred status/recycle.</t>
        </is>
      </c>
      <c r="O125" s="16" t="inlineStr">
        <is>
          <t>Re-perform: request a disposal (Draft JE excluded), attempt self-approve (SOD_VIOLATION), approve as a different user; confirm status→disposed + surplus recycled only after approval (re-performed by the harnesses).</t>
        </is>
      </c>
      <c r="P125" s="16" t="inlineStr">
        <is>
          <t>Disposal approval log + SoD test</t>
        </is>
      </c>
      <c r="Q125" s="18" t="inlineStr">
        <is>
          <t>Implemented</t>
        </is>
      </c>
    </row>
    <row r="126">
      <c r="A126" s="11" t="inlineStr">
        <is>
          <t>FA-10</t>
        </is>
      </c>
      <c r="B126" s="12" t="inlineStr">
        <is>
          <t>Fixed Assets</t>
        </is>
      </c>
      <c r="C126" s="13" t="inlineStr">
        <is>
          <t>Application</t>
        </is>
      </c>
      <c r="D126" s="12" t="inlineStr">
        <is>
          <t>Property, Plant &amp; Equipment; Accounts Payable</t>
        </is>
      </c>
      <c r="E126" s="12" t="inlineStr">
        <is>
          <t>Capital purchases mis-capitalised or capitalised without independent review — the person who receives the goods also decides what enters the asset register and at what cost/useful life (fictitious or over-valued assets; capex/opex mis-classification).</t>
        </is>
      </c>
      <c r="F126" s="12" t="inlineStr">
        <is>
          <t>Authorization; Accuracy</t>
        </is>
      </c>
      <c r="G126" s="12" t="inlineStr">
        <is>
          <t>Procure-to-Capitalize maker-checker (SoD): a goods-receipt line flagged capital (item-master is_fixed_asset or per-PO-line override) is excluded from inventory capitalisation (1200) at receipt and instead becomes ELIGIBLE for the asset register. Capitalisation is a REQUEST that posts NOTHING to the GL; a DIFFERENT user must approve before the fixed_assets row + acquisition JE (Dr 1500 / Cr 2000) are created (approver ≠ requester enforced regardless of permissions). The created asset carries its source GR/PO for end-to-end PR→PO→GR→FA traceability; a GR line cannot be capitalised twice.</t>
        </is>
      </c>
      <c r="H126" s="13" t="inlineStr">
        <is>
          <t>Prev</t>
        </is>
      </c>
      <c r="I126" s="13" t="inlineStr">
        <is>
          <t>Automated</t>
        </is>
      </c>
      <c r="J126" s="13" t="inlineStr">
        <is>
          <t>Per capital receipt</t>
        </is>
      </c>
      <c r="K126" s="12" t="inlineStr">
        <is>
          <t>FaAccountant / Controller</t>
        </is>
      </c>
      <c r="L126" s="13" t="inlineStr">
        <is>
          <t>P10</t>
        </is>
      </c>
      <c r="M126" s="12" t="inlineStr">
        <is>
          <t>assets.service.ts registerFromGr/approveRegistration/rejectRegistration/eligibleFromGr; assets.controller.ts (registrations*); procurement.service.ts createGr (is_capital routing, costing excluded); schema/assets.ts asset_registration_requests + fixed_assets.source_gr_no/po_no + migration 0137; cutover/basics.ts + compliance.ts (ToE)</t>
        </is>
      </c>
      <c r="N126" s="12" t="inlineStr">
        <is>
          <t>Inspect the eligible→request→approve flow + approver≠requester check + the inventory-vs-asset routing of capital lines.</t>
        </is>
      </c>
      <c r="O126" s="12" t="inlineStr">
        <is>
          <t>Re-perform: receive a capital line, raise a registration (no GL), attempt self-approve (SOD_VIOLATION), approve as a different user; confirm the asset + Dr 1500/Cr 2000 post only after approval and the line cannot be re-registered (re-performed by the harnesses).</t>
        </is>
      </c>
      <c r="P126" s="12" t="inlineStr">
        <is>
          <t>Capitalization approval log + SoD test</t>
        </is>
      </c>
      <c r="Q126" s="18" t="inlineStr">
        <is>
          <t>Implemented</t>
        </is>
      </c>
    </row>
    <row r="127">
      <c r="A127" s="15" t="inlineStr">
        <is>
          <t>CON-01</t>
        </is>
      </c>
      <c r="B127" s="16" t="inlineStr">
        <is>
          <t>Consolidation &amp; FX</t>
        </is>
      </c>
      <c r="C127" s="17" t="inlineStr">
        <is>
          <t>Application</t>
        </is>
      </c>
      <c r="D127" s="16" t="inlineStr">
        <is>
          <t>Consolidation</t>
        </is>
      </c>
      <c r="E127" s="16" t="inlineStr">
        <is>
          <t>Group consolidation mis-stated (ownership/currency).</t>
        </is>
      </c>
      <c r="F127" s="16" t="inlineStr">
        <is>
          <t>Accuracy</t>
        </is>
      </c>
      <c r="G127" s="16" t="inlineStr">
        <is>
          <t>Consolidation run (ownership %, entity currency) gated by 'approvals'.</t>
        </is>
      </c>
      <c r="H127" s="17" t="inlineStr">
        <is>
          <t>Auto+Manual</t>
        </is>
      </c>
      <c r="I127" s="17" t="inlineStr">
        <is>
          <t>Period</t>
        </is>
      </c>
      <c r="J127" s="17" t="inlineStr">
        <is>
          <t>Period</t>
        </is>
      </c>
      <c r="K127" s="16" t="inlineStr">
        <is>
          <t>Group Controller</t>
        </is>
      </c>
      <c r="L127" s="17" t="inlineStr">
        <is>
          <t>P10</t>
        </is>
      </c>
      <c r="M127" s="16" t="inlineStr">
        <is>
          <t>consolidation.service.ts (runConsolidation @Permissions approvals)</t>
        </is>
      </c>
      <c r="N127" s="16" t="inlineStr">
        <is>
          <t>Inspect consolidation logic + gate.</t>
        </is>
      </c>
      <c r="O127" s="16" t="inlineStr">
        <is>
          <t>Sample period: consolidated TB ties to entities.</t>
        </is>
      </c>
      <c r="P127" s="16" t="inlineStr">
        <is>
          <t>Consol TB</t>
        </is>
      </c>
      <c r="Q127" s="18" t="inlineStr">
        <is>
          <t>Implemented</t>
        </is>
      </c>
    </row>
    <row r="128">
      <c r="A128" s="11" t="inlineStr">
        <is>
          <t>CON-02</t>
        </is>
      </c>
      <c r="B128" s="12" t="inlineStr">
        <is>
          <t>Consolidation &amp; FX</t>
        </is>
      </c>
      <c r="C128" s="13" t="inlineStr">
        <is>
          <t>Application</t>
        </is>
      </c>
      <c r="D128" s="12" t="inlineStr">
        <is>
          <t>FX gain/loss</t>
        </is>
      </c>
      <c r="E128" s="12" t="inlineStr">
        <is>
          <t>FX exposures not revalued at period-end.</t>
        </is>
      </c>
      <c r="F128" s="12" t="inlineStr">
        <is>
          <t>Valuation</t>
        </is>
      </c>
      <c r="G128" s="12" t="inlineStr">
        <is>
          <t>FX revaluation at period-end rates; unrealized FX posted (acct 5400).</t>
        </is>
      </c>
      <c r="H128" s="13" t="inlineStr">
        <is>
          <t>Auto+Manual</t>
        </is>
      </c>
      <c r="I128" s="13" t="inlineStr">
        <is>
          <t>Period-end</t>
        </is>
      </c>
      <c r="J128" s="13" t="inlineStr">
        <is>
          <t>Period</t>
        </is>
      </c>
      <c r="K128" s="12" t="inlineStr">
        <is>
          <t>Controller</t>
        </is>
      </c>
      <c r="L128" s="13" t="inlineStr">
        <is>
          <t>P10</t>
        </is>
      </c>
      <c r="M128" s="12" t="inlineStr">
        <is>
          <t>fx.service.ts (revalue / unrealized report)</t>
        </is>
      </c>
      <c r="N128" s="12" t="inlineStr">
        <is>
          <t>Inspect reval logic + rates.</t>
        </is>
      </c>
      <c r="O128" s="12" t="inlineStr">
        <is>
          <t>Recompute reval on sample balances.</t>
        </is>
      </c>
      <c r="P128" s="12" t="inlineStr">
        <is>
          <t>FX reval JE</t>
        </is>
      </c>
      <c r="Q128" s="18" t="inlineStr">
        <is>
          <t>Implemented</t>
        </is>
      </c>
    </row>
    <row r="129">
      <c r="A129" s="15" t="inlineStr">
        <is>
          <t>FX-04</t>
        </is>
      </c>
      <c r="B129" s="16" t="inlineStr">
        <is>
          <t>Consolidation &amp; FX</t>
        </is>
      </c>
      <c r="C129" s="17" t="inlineStr">
        <is>
          <t>Application</t>
        </is>
      </c>
      <c r="D129" s="16" t="inlineStr">
        <is>
          <t>FX gain/loss; Revenue; AR/AP</t>
        </is>
      </c>
      <c r="E129" s="16" t="inlineStr">
        <is>
          <t>A wrong manually-entered FX rate (fat-fingered, e.g. USD 36 keyed as 63) flows straight into a period-end revaluation JE and the unrealized-FX report with no independent review — mis-stating earnings/equity and FX-translated balances.</t>
        </is>
      </c>
      <c r="F129" s="16" t="inlineStr">
        <is>
          <t>Accuracy/Valuation</t>
        </is>
      </c>
      <c r="G129" s="16" t="inlineStr">
        <is>
          <t>FX rate maker-checker (SoD): a MANUALLY-entered rate lands as PendingApproval and is EXCLUDED from rate resolution — revaluation, the unrealized-FX report, and consolidation translation all use APPROVED rates only — until a DIFFERENT user approves it (POST /api/fx/rates/approve). Self-approval → SOD_VIOLATION (binds even Admin); reject marks the rate Rejected (never usable); re-entering a rate sends it back to PendingApproval. Externally-sourced (feed) rates carrying an explicit non-manual source are auto-approved. Pending rates are also surfaced, aged, by the pending-approvals monitor (GOV-01).</t>
        </is>
      </c>
      <c r="H129" s="17" t="inlineStr">
        <is>
          <t>Prev</t>
        </is>
      </c>
      <c r="I129" s="17" t="inlineStr">
        <is>
          <t>Automated</t>
        </is>
      </c>
      <c r="J129" s="17" t="inlineStr">
        <is>
          <t>Per rate</t>
        </is>
      </c>
      <c r="K129" s="16" t="inlineStr">
        <is>
          <t>Controller / Treasury</t>
        </is>
      </c>
      <c r="L129" s="17" t="inlineStr">
        <is>
          <t>P10</t>
        </is>
      </c>
      <c r="M129" s="16" t="inlineStr">
        <is>
          <t>fx.service.ts setRate(manual→PendingApproval)/approveRate/rejectRate/rateAsOf(Approved only); fx.controller.ts (rates/approve|reject|pending gated approvals/gl_close); consolidation.service.ts (translation reads Approved rates); schema/fx.ts fx_rates.status + migration 0141; cutover/fxreval.ts (ToE)</t>
        </is>
      </c>
      <c r="N129" s="16" t="inlineStr">
        <is>
          <t>Inspect the request→approve flow + the approver≠requester check + that revaluation/reporting resolve Approved rates only.</t>
        </is>
      </c>
      <c r="O129" s="16" t="inlineStr">
        <is>
          <t>Re-perform: enter a manual rate (PendingApproval), confirm revalue is blocked NO_RATE while pending, attempt self-approve (SOD_VIOLATION), approve as a different user, then revalue succeeds (re-performed by the fxreval harness).</t>
        </is>
      </c>
      <c r="P129" s="16" t="inlineStr">
        <is>
          <t>FX rate approval log + SoD test</t>
        </is>
      </c>
      <c r="Q129" s="18" t="inlineStr">
        <is>
          <t>Implemented</t>
        </is>
      </c>
    </row>
    <row r="130">
      <c r="A130" s="11" t="inlineStr">
        <is>
          <t>BUD-01</t>
        </is>
      </c>
      <c r="B130" s="12" t="inlineStr">
        <is>
          <t>Budgeting &amp; Planning</t>
        </is>
      </c>
      <c r="C130" s="13" t="inlineStr">
        <is>
          <t>Application</t>
        </is>
      </c>
      <c r="D130" s="12" t="inlineStr">
        <is>
          <t>Budget; All (variance reporting)</t>
        </is>
      </c>
      <c r="E130" s="12" t="inlineStr">
        <is>
          <t>A budget figure is entered/changed by one person and immediately drives the budget-vs-actual variance report — the basis for spend authorization and performance review — with no independent approval; a wrong or self-serving budget makes overspending look 'on budget'.</t>
        </is>
      </c>
      <c r="F130" s="12" t="inlineStr">
        <is>
          <t>Authorization/Accuracy</t>
        </is>
      </c>
      <c r="G130" s="12" t="inlineStr">
        <is>
          <t>Budget maker-checker (SoD): an upserted budget (POST /api/ledger/budgets) lands as PendingApproval and is EXCLUDED from budget-vs-actual until a DIFFERENT user approves it (POST /api/ledger/budgets/approve for the fiscal_year/account/cost-centre[/period]). Self-approval → SOD_VIOLATION (binds even Admin); reject marks it Rejected (excluded). DEFAULT 'Approved' keeps existing rows + direct planning seeds usable. Pending budgets are also surfaced, aged, by the pending-approvals monitor (GOV-01).</t>
        </is>
      </c>
      <c r="H130" s="13" t="inlineStr">
        <is>
          <t>Prev</t>
        </is>
      </c>
      <c r="I130" s="13" t="inlineStr">
        <is>
          <t>Automated</t>
        </is>
      </c>
      <c r="J130" s="13" t="inlineStr">
        <is>
          <t>Per budget</t>
        </is>
      </c>
      <c r="K130" s="12" t="inlineStr">
        <is>
          <t>Controller / FP&amp;A</t>
        </is>
      </c>
      <c r="L130" s="13" t="inlineStr">
        <is>
          <t>P10</t>
        </is>
      </c>
      <c r="M130" s="12" t="inlineStr">
        <is>
          <t>budget.service.ts upsertBudget(→PendingApproval)/approveBudget/rejectBudget/budgetVsActual(Approved only); budget.controller.ts (budgets/approve|reject|pending gated approvals/gl_close); schema/budgets.ts budgets.status + migration 0142; cutover/budget.ts (ToE)</t>
        </is>
      </c>
      <c r="N130" s="12" t="inlineStr">
        <is>
          <t>Inspect the request→approve flow + the approver≠requester check + that budget-vs-actual counts Approved budgets only.</t>
        </is>
      </c>
      <c r="O130" s="12" t="inlineStr">
        <is>
          <t>Re-perform: upsert a budget (PendingApproval, excluded from variance), attempt self-approve (SOD_VIOLATION), approve as a different user, confirm it then appears in budget-vs-actual (re-performed by the budget harness).</t>
        </is>
      </c>
      <c r="P130" s="12" t="inlineStr">
        <is>
          <t>Budget approval log + SoD test</t>
        </is>
      </c>
      <c r="Q130" s="18" t="inlineStr">
        <is>
          <t>Implemented</t>
        </is>
      </c>
    </row>
  </sheetData>
  <autoFilter ref="A1:Q130"/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H18"/>
  <sheetViews>
    <sheetView showGridLines="0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1" customWidth="1" min="1" max="1"/>
    <col width="17" customWidth="1" min="2" max="2"/>
    <col width="34" customWidth="1" min="3" max="3"/>
    <col width="46" customWidth="1" min="4" max="4"/>
    <col width="16" customWidth="1" min="5" max="5"/>
    <col width="10" customWidth="1" min="6" max="6"/>
    <col width="16" customWidth="1" min="7" max="7"/>
    <col width="11" customWidth="1" min="8" max="8"/>
  </cols>
  <sheetData>
    <row r="1">
      <c r="A1" s="20" t="inlineStr">
        <is>
          <t>Remediation Plan — Gap &amp; Partial controls (sequenced to the readiness timeline)</t>
        </is>
      </c>
    </row>
    <row r="2" ht="28" customHeight="1">
      <c r="A2" s="21" t="inlineStr">
        <is>
          <t>Control ID</t>
        </is>
      </c>
      <c r="B2" s="21" t="inlineStr">
        <is>
          <t>Cycle</t>
        </is>
      </c>
      <c r="C2" s="21" t="inlineStr">
        <is>
          <t>Gap / Weakness</t>
        </is>
      </c>
      <c r="D2" s="21" t="inlineStr">
        <is>
          <t>Remediation Action</t>
        </is>
      </c>
      <c r="E2" s="21" t="inlineStr">
        <is>
          <t>Owner</t>
        </is>
      </c>
      <c r="F2" s="21" t="inlineStr">
        <is>
          <t>Phase</t>
        </is>
      </c>
      <c r="G2" s="21" t="inlineStr">
        <is>
          <t>Target (relative)</t>
        </is>
      </c>
      <c r="H2" s="21" t="inlineStr">
        <is>
          <t>Priority</t>
        </is>
      </c>
    </row>
    <row r="3">
      <c r="A3" s="11" t="inlineStr">
        <is>
          <t>ITGC-OP-02</t>
        </is>
      </c>
      <c r="B3" s="13" t="inlineStr">
        <is>
          <t>ITGC · Operations</t>
        </is>
      </c>
      <c r="C3" s="12" t="inlineStr">
        <is>
          <t>DR/BCP plan not authored (RTO/RPO now defined in backup runbook).</t>
        </is>
      </c>
      <c r="D3" s="12" t="inlineStr">
        <is>
          <t>Author full DR/BCP; schedule annual test.</t>
        </is>
      </c>
      <c r="E3" s="13" t="inlineStr">
        <is>
          <t>CTO / DevOps</t>
        </is>
      </c>
      <c r="F3" s="13" t="inlineStr">
        <is>
          <t>Phase 2</t>
        </is>
      </c>
      <c r="G3" s="13" t="inlineStr">
        <is>
          <t>Month 3-5</t>
        </is>
      </c>
      <c r="H3" s="22" t="inlineStr">
        <is>
          <t>Medium</t>
        </is>
      </c>
    </row>
    <row r="4">
      <c r="A4" s="15" t="inlineStr">
        <is>
          <t>ITGC-OP-04</t>
        </is>
      </c>
      <c r="B4" s="17" t="inlineStr">
        <is>
          <t>ITGC · Operations</t>
        </is>
      </c>
      <c r="C4" s="16" t="inlineStr">
        <is>
          <t>Batch-job failure alerting not yet wired (alert spec authored).</t>
        </is>
      </c>
      <c r="D4" s="16" t="inlineStr">
        <is>
          <t>Wire pg-boss job failure alerting + review evidence.</t>
        </is>
      </c>
      <c r="E4" s="17" t="inlineStr">
        <is>
          <t>DevOps / Controller</t>
        </is>
      </c>
      <c r="F4" s="17" t="inlineStr">
        <is>
          <t>Phase 2</t>
        </is>
      </c>
      <c r="G4" s="17" t="inlineStr">
        <is>
          <t>Month 3</t>
        </is>
      </c>
      <c r="H4" s="22" t="inlineStr">
        <is>
          <t>Medium</t>
        </is>
      </c>
    </row>
    <row r="5">
      <c r="A5" s="11" t="inlineStr">
        <is>
          <t>ITGC-SD-01</t>
        </is>
      </c>
      <c r="B5" s="13" t="inlineStr">
        <is>
          <t>ITGC · SDLC</t>
        </is>
      </c>
      <c r="C5" s="12" t="inlineStr">
        <is>
          <t>No formal SDLC policy.</t>
        </is>
      </c>
      <c r="D5" s="12" t="inlineStr">
        <is>
          <t>Author SDLC policy with design/test/UAT/go-live sign-offs.</t>
        </is>
      </c>
      <c r="E5" s="13" t="inlineStr">
        <is>
          <t>Head of Eng / Product</t>
        </is>
      </c>
      <c r="F5" s="13" t="inlineStr">
        <is>
          <t>Phase 2</t>
        </is>
      </c>
      <c r="G5" s="13" t="inlineStr">
        <is>
          <t>Month 3-4</t>
        </is>
      </c>
      <c r="H5" s="22" t="inlineStr">
        <is>
          <t>Medium</t>
        </is>
      </c>
    </row>
    <row r="6">
      <c r="A6" s="15" t="inlineStr">
        <is>
          <t>ITGC-SD-02</t>
        </is>
      </c>
      <c r="B6" s="17" t="inlineStr">
        <is>
          <t>ITGC · SDLC</t>
        </is>
      </c>
      <c r="C6" s="16" t="inlineStr">
        <is>
          <t>Cutover reconciliation not documented.</t>
        </is>
      </c>
      <c r="D6" s="16" t="inlineStr">
        <is>
          <t>Document source→target balance tie-out + sign-off for any migration.</t>
        </is>
      </c>
      <c r="E6" s="17" t="inlineStr">
        <is>
          <t>Controller / Eng</t>
        </is>
      </c>
      <c r="F6" s="17" t="inlineStr">
        <is>
          <t>Phase 2</t>
        </is>
      </c>
      <c r="G6" s="17" t="inlineStr">
        <is>
          <t>Month 4</t>
        </is>
      </c>
      <c r="H6" s="22" t="inlineStr">
        <is>
          <t>Medium</t>
        </is>
      </c>
    </row>
    <row r="7">
      <c r="A7" s="11" t="inlineStr">
        <is>
          <t>ITGC-SD-03</t>
        </is>
      </c>
      <c r="B7" s="13" t="inlineStr">
        <is>
          <t>ITGC · SDLC</t>
        </is>
      </c>
      <c r="C7" s="12" t="inlineStr">
        <is>
          <t>Test coverage of key controls partial.</t>
        </is>
      </c>
      <c r="D7" s="12" t="inlineStr">
        <is>
          <t>Expand key-control regression tests; CI archives dated evidence.</t>
        </is>
      </c>
      <c r="E7" s="13" t="inlineStr">
        <is>
          <t>Head of Eng</t>
        </is>
      </c>
      <c r="F7" s="13" t="inlineStr">
        <is>
          <t>Phase 2</t>
        </is>
      </c>
      <c r="G7" s="13" t="inlineStr">
        <is>
          <t>Month 3-5</t>
        </is>
      </c>
      <c r="H7" s="22" t="inlineStr">
        <is>
          <t>Medium</t>
        </is>
      </c>
    </row>
    <row r="8">
      <c r="A8" s="15" t="inlineStr">
        <is>
          <t>EXP-03</t>
        </is>
      </c>
      <c r="B8" s="17" t="inlineStr">
        <is>
          <t>Expenditure</t>
        </is>
      </c>
      <c r="C8" s="16" t="inlineStr">
        <is>
          <t>PR/PO approval workflow partial.</t>
        </is>
      </c>
      <c r="D8" s="16" t="inlineStr">
        <is>
          <t>Finalize PR/PO maker-checker against DoA thresholds.</t>
        </is>
      </c>
      <c r="E8" s="17" t="inlineStr">
        <is>
          <t>Procurement Mgr</t>
        </is>
      </c>
      <c r="F8" s="17" t="inlineStr">
        <is>
          <t>Phase 2</t>
        </is>
      </c>
      <c r="G8" s="17" t="inlineStr">
        <is>
          <t>Month 3-4</t>
        </is>
      </c>
      <c r="H8" s="22" t="inlineStr">
        <is>
          <t>Medium</t>
        </is>
      </c>
    </row>
    <row r="9">
      <c r="A9" s="11" t="inlineStr">
        <is>
          <t>INV-04</t>
        </is>
      </c>
      <c r="B9" s="13" t="inlineStr">
        <is>
          <t>Inventory &amp; COGS</t>
        </is>
      </c>
      <c r="C9" s="12" t="inlineStr">
        <is>
          <t>Stocktake variance review informal.</t>
        </is>
      </c>
      <c r="D9" s="12" t="inlineStr">
        <is>
          <t>Formalize count cadence + variance review/approval sign-off.</t>
        </is>
      </c>
      <c r="E9" s="13" t="inlineStr">
        <is>
          <t>Warehouse Mgr</t>
        </is>
      </c>
      <c r="F9" s="13" t="inlineStr">
        <is>
          <t>Phase 2</t>
        </is>
      </c>
      <c r="G9" s="13" t="inlineStr">
        <is>
          <t>Month 4</t>
        </is>
      </c>
      <c r="H9" s="22" t="inlineStr">
        <is>
          <t>Medium</t>
        </is>
      </c>
    </row>
    <row r="10">
      <c r="A10" s="15" t="inlineStr">
        <is>
          <t>REC-03</t>
        </is>
      </c>
      <c r="B10" s="17" t="inlineStr">
        <is>
          <t>Reconciliation</t>
        </is>
      </c>
      <c r="C10" s="16" t="inlineStr">
        <is>
          <t>Intercompany recon partial.</t>
        </is>
      </c>
      <c r="D10" s="16" t="inlineStr">
        <is>
          <t>Formalize IC matching + elimination sign-off each period.</t>
        </is>
      </c>
      <c r="E10" s="17" t="inlineStr">
        <is>
          <t>Group Controller</t>
        </is>
      </c>
      <c r="F10" s="17" t="inlineStr">
        <is>
          <t>Phase 2-3</t>
        </is>
      </c>
      <c r="G10" s="17" t="inlineStr">
        <is>
          <t>Month 4-6</t>
        </is>
      </c>
      <c r="H10" s="22" t="inlineStr">
        <is>
          <t>Medium</t>
        </is>
      </c>
    </row>
    <row r="11">
      <c r="A11" s="11" t="inlineStr">
        <is>
          <t>ITGC-AC-07</t>
        </is>
      </c>
      <c r="B11" s="13" t="inlineStr">
        <is>
          <t>ITGC · Access</t>
        </is>
      </c>
      <c r="C11" s="12" t="inlineStr">
        <is>
          <t>Login brute-force lockout + JWT revocation outstanding.</t>
        </is>
      </c>
      <c r="D11" s="12" t="inlineStr">
        <is>
          <t>DONE: token → httpOnly cookie + CSRF + web CSP. Remaining: per-account login lockout/throttle + JWT jti revocation list.</t>
        </is>
      </c>
      <c r="E11" s="13" t="inlineStr">
        <is>
          <t>IT Security / Eng</t>
        </is>
      </c>
      <c r="F11" s="13" t="inlineStr">
        <is>
          <t>Phase 2</t>
        </is>
      </c>
      <c r="G11" s="13" t="inlineStr">
        <is>
          <t>Month 2-3</t>
        </is>
      </c>
      <c r="H11" s="23" t="inlineStr">
        <is>
          <t>Low</t>
        </is>
      </c>
    </row>
    <row r="12">
      <c r="A12" s="15" t="inlineStr">
        <is>
          <t>TAX-03</t>
        </is>
      </c>
      <c r="B12" s="17" t="inlineStr">
        <is>
          <t>Tax</t>
        </is>
      </c>
      <c r="C12" s="16" t="inlineStr">
        <is>
          <t>WHT reporting partial.</t>
        </is>
      </c>
      <c r="D12" s="16" t="inlineStr">
        <is>
          <t>Complete WHT calc coverage + monthly ภ.ง.ด. tie-out.</t>
        </is>
      </c>
      <c r="E12" s="17" t="inlineStr">
        <is>
          <t>Tax</t>
        </is>
      </c>
      <c r="F12" s="17" t="inlineStr">
        <is>
          <t>Phase 2-3</t>
        </is>
      </c>
      <c r="G12" s="17" t="inlineStr">
        <is>
          <t>Month 4-6</t>
        </is>
      </c>
      <c r="H12" s="22" t="inlineStr">
        <is>
          <t>Medium</t>
        </is>
      </c>
    </row>
    <row r="13">
      <c r="A13" s="11" t="inlineStr">
        <is>
          <t>PAY-02</t>
        </is>
      </c>
      <c r="B13" s="13" t="inlineStr">
        <is>
          <t>Payroll</t>
        </is>
      </c>
      <c r="C13" s="12" t="inlineStr">
        <is>
          <t>Statutory payroll items partial.</t>
        </is>
      </c>
      <c r="D13" s="12" t="inlineStr">
        <is>
          <t>Complete PF/OT/leave + ภ.ง.ด.1ก reconciliation to filings.</t>
        </is>
      </c>
      <c r="E13" s="13" t="inlineStr">
        <is>
          <t>HR / Payroll</t>
        </is>
      </c>
      <c r="F13" s="13" t="inlineStr">
        <is>
          <t>Phase 2-3</t>
        </is>
      </c>
      <c r="G13" s="13" t="inlineStr">
        <is>
          <t>Month 4-6</t>
        </is>
      </c>
      <c r="H13" s="22" t="inlineStr">
        <is>
          <t>Medium</t>
        </is>
      </c>
    </row>
    <row r="14">
      <c r="A14" s="15" t="inlineStr">
        <is>
          <t>ELC-01</t>
        </is>
      </c>
      <c r="B14" s="17" t="inlineStr">
        <is>
          <t>Entity-Level</t>
        </is>
      </c>
      <c r="C14" s="16" t="inlineStr">
        <is>
          <t>No ethics policy / acknowledgements.</t>
        </is>
      </c>
      <c r="D14" s="16" t="inlineStr">
        <is>
          <t>Issue code of conduct; annual acknowledgement register.</t>
        </is>
      </c>
      <c r="E14" s="17" t="inlineStr">
        <is>
          <t>CEO / HR</t>
        </is>
      </c>
      <c r="F14" s="17" t="inlineStr">
        <is>
          <t>Phase 1</t>
        </is>
      </c>
      <c r="G14" s="17" t="inlineStr">
        <is>
          <t>Month 1-2</t>
        </is>
      </c>
      <c r="H14" s="24" t="inlineStr">
        <is>
          <t>High</t>
        </is>
      </c>
    </row>
    <row r="15">
      <c r="A15" s="11" t="inlineStr">
        <is>
          <t>ELC-02</t>
        </is>
      </c>
      <c r="B15" s="13" t="inlineStr">
        <is>
          <t>Entity-Level</t>
        </is>
      </c>
      <c r="C15" s="12" t="inlineStr">
        <is>
          <t>No audit-committee ICFR oversight.</t>
        </is>
      </c>
      <c r="D15" s="12" t="inlineStr">
        <is>
          <t>Charter audit committee; quarterly ICFR review minutes.</t>
        </is>
      </c>
      <c r="E15" s="13" t="inlineStr">
        <is>
          <t>Board</t>
        </is>
      </c>
      <c r="F15" s="13" t="inlineStr">
        <is>
          <t>Phase 1</t>
        </is>
      </c>
      <c r="G15" s="13" t="inlineStr">
        <is>
          <t>Month 1-2</t>
        </is>
      </c>
      <c r="H15" s="24" t="inlineStr">
        <is>
          <t>High</t>
        </is>
      </c>
    </row>
    <row r="16">
      <c r="A16" s="15" t="inlineStr">
        <is>
          <t>ELC-03</t>
        </is>
      </c>
      <c r="B16" s="17" t="inlineStr">
        <is>
          <t>Entity-Level</t>
        </is>
      </c>
      <c r="C16" s="16" t="inlineStr">
        <is>
          <t>No documented delegation of authority.</t>
        </is>
      </c>
      <c r="D16" s="16" t="inlineStr">
        <is>
          <t>Author DoA/approval matrix; reconcile to RBAC roles.</t>
        </is>
      </c>
      <c r="E16" s="17" t="inlineStr">
        <is>
          <t>CFO</t>
        </is>
      </c>
      <c r="F16" s="17" t="inlineStr">
        <is>
          <t>Phase 1</t>
        </is>
      </c>
      <c r="G16" s="17" t="inlineStr">
        <is>
          <t>Month 2</t>
        </is>
      </c>
      <c r="H16" s="24" t="inlineStr">
        <is>
          <t>High</t>
        </is>
      </c>
    </row>
    <row r="17">
      <c r="A17" s="11" t="inlineStr">
        <is>
          <t>ELC-04</t>
        </is>
      </c>
      <c r="B17" s="13" t="inlineStr">
        <is>
          <t>Entity-Level</t>
        </is>
      </c>
      <c r="C17" s="12" t="inlineStr">
        <is>
          <t>No whistleblower channel.</t>
        </is>
      </c>
      <c r="D17" s="12" t="inlineStr">
        <is>
          <t>Stand up anonymous hotline + non-retaliation policy.</t>
        </is>
      </c>
      <c r="E17" s="13" t="inlineStr">
        <is>
          <t>Audit Cttee</t>
        </is>
      </c>
      <c r="F17" s="13" t="inlineStr">
        <is>
          <t>Phase 1</t>
        </is>
      </c>
      <c r="G17" s="13" t="inlineStr">
        <is>
          <t>Month 2</t>
        </is>
      </c>
      <c r="H17" s="22" t="inlineStr">
        <is>
          <t>Medium</t>
        </is>
      </c>
    </row>
    <row r="18">
      <c r="A18" s="15" t="inlineStr">
        <is>
          <t>ELC-05</t>
        </is>
      </c>
      <c r="B18" s="17" t="inlineStr">
        <is>
          <t>Entity-Level</t>
        </is>
      </c>
      <c r="C18" s="16" t="inlineStr">
        <is>
          <t>No fraud risk assessment.</t>
        </is>
      </c>
      <c r="D18" s="16" t="inlineStr">
        <is>
          <t>Perform annual fraud risk assessment; map to controls.</t>
        </is>
      </c>
      <c r="E18" s="17" t="inlineStr">
        <is>
          <t>CFO / IA</t>
        </is>
      </c>
      <c r="F18" s="17" t="inlineStr">
        <is>
          <t>Phase 2</t>
        </is>
      </c>
      <c r="G18" s="17" t="inlineStr">
        <is>
          <t>Month 3</t>
        </is>
      </c>
      <c r="H18" s="22" t="inlineStr">
        <is>
          <t>Medium</t>
        </is>
      </c>
    </row>
  </sheetData>
  <autoFilter ref="A2:H18"/>
  <mergeCells count="1">
    <mergeCell ref="A1:H1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D19"/>
  <sheetViews>
    <sheetView showGridLines="0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22" customWidth="1" min="1" max="1"/>
    <col width="5" customWidth="1" min="2" max="2"/>
    <col width="55" customWidth="1" min="3" max="3"/>
    <col width="40" customWidth="1" min="4" max="4"/>
  </cols>
  <sheetData>
    <row r="1">
      <c r="A1" s="20" t="inlineStr">
        <is>
          <t>COSO 2013 — 17 Principles coverage</t>
        </is>
      </c>
    </row>
    <row r="2">
      <c r="A2" s="21" t="inlineStr">
        <is>
          <t>Component</t>
        </is>
      </c>
      <c r="B2" s="21" t="inlineStr">
        <is>
          <t>#</t>
        </is>
      </c>
      <c r="C2" s="21" t="inlineStr">
        <is>
          <t>Principle</t>
        </is>
      </c>
      <c r="D2" s="21" t="inlineStr">
        <is>
          <t>Covered by (examples)</t>
        </is>
      </c>
    </row>
    <row r="3">
      <c r="A3" s="12" t="inlineStr">
        <is>
          <t>Control Environment</t>
        </is>
      </c>
      <c r="B3" s="13" t="n">
        <v>1</v>
      </c>
      <c r="C3" s="12" t="inlineStr">
        <is>
          <t>Commitment to integrity &amp; ethical values</t>
        </is>
      </c>
      <c r="D3" s="12" t="inlineStr">
        <is>
          <t>ELC-01, ELC-04</t>
        </is>
      </c>
    </row>
    <row r="4">
      <c r="A4" s="16" t="inlineStr">
        <is>
          <t>Control Environment</t>
        </is>
      </c>
      <c r="B4" s="17" t="n">
        <v>2</v>
      </c>
      <c r="C4" s="16" t="inlineStr">
        <is>
          <t>Board exercises oversight responsibility</t>
        </is>
      </c>
      <c r="D4" s="16" t="inlineStr">
        <is>
          <t>ELC-02</t>
        </is>
      </c>
    </row>
    <row r="5">
      <c r="A5" s="12" t="inlineStr">
        <is>
          <t>Control Environment</t>
        </is>
      </c>
      <c r="B5" s="13" t="n">
        <v>3</v>
      </c>
      <c r="C5" s="12" t="inlineStr">
        <is>
          <t>Establishes structure, authority &amp; responsibility</t>
        </is>
      </c>
      <c r="D5" s="12" t="inlineStr">
        <is>
          <t>ELC-03, ITGC-AC-02</t>
        </is>
      </c>
    </row>
    <row r="6">
      <c r="A6" s="16" t="inlineStr">
        <is>
          <t>Control Environment</t>
        </is>
      </c>
      <c r="B6" s="17" t="n">
        <v>4</v>
      </c>
      <c r="C6" s="16" t="inlineStr">
        <is>
          <t>Commitment to competence</t>
        </is>
      </c>
      <c r="D6" s="16" t="inlineStr">
        <is>
          <t>HR / training (entity)</t>
        </is>
      </c>
    </row>
    <row r="7">
      <c r="A7" s="12" t="inlineStr">
        <is>
          <t>Control Environment</t>
        </is>
      </c>
      <c r="B7" s="13" t="n">
        <v>5</v>
      </c>
      <c r="C7" s="12" t="inlineStr">
        <is>
          <t>Enforces accountability</t>
        </is>
      </c>
      <c r="D7" s="12" t="inlineStr">
        <is>
          <t>ELC-03, ITGC-AC-08/09</t>
        </is>
      </c>
    </row>
    <row r="8">
      <c r="A8" s="16" t="inlineStr">
        <is>
          <t>Risk Assessment</t>
        </is>
      </c>
      <c r="B8" s="17" t="n">
        <v>6</v>
      </c>
      <c r="C8" s="16" t="inlineStr">
        <is>
          <t>Specifies suitable objectives</t>
        </is>
      </c>
      <c r="D8" s="16" t="inlineStr">
        <is>
          <t>Scoping memo (to author)</t>
        </is>
      </c>
    </row>
    <row r="9">
      <c r="A9" s="12" t="inlineStr">
        <is>
          <t>Risk Assessment</t>
        </is>
      </c>
      <c r="B9" s="13" t="n">
        <v>7</v>
      </c>
      <c r="C9" s="12" t="inlineStr">
        <is>
          <t>Identifies &amp; analyzes risk</t>
        </is>
      </c>
      <c r="D9" s="12" t="inlineStr">
        <is>
          <t>Scoping / risk assessment</t>
        </is>
      </c>
    </row>
    <row r="10">
      <c r="A10" s="16" t="inlineStr">
        <is>
          <t>Risk Assessment</t>
        </is>
      </c>
      <c r="B10" s="17" t="n">
        <v>8</v>
      </c>
      <c r="C10" s="16" t="inlineStr">
        <is>
          <t>Assesses fraud risk</t>
        </is>
      </c>
      <c r="D10" s="16" t="inlineStr">
        <is>
          <t>ELC-05</t>
        </is>
      </c>
    </row>
    <row r="11">
      <c r="A11" s="12" t="inlineStr">
        <is>
          <t>Risk Assessment</t>
        </is>
      </c>
      <c r="B11" s="13" t="n">
        <v>9</v>
      </c>
      <c r="C11" s="12" t="inlineStr">
        <is>
          <t>Identifies &amp; analyzes significant change</t>
        </is>
      </c>
      <c r="D11" s="12" t="inlineStr">
        <is>
          <t>ITGC-CM-*, ITGC-SD-01</t>
        </is>
      </c>
    </row>
    <row r="12">
      <c r="A12" s="16" t="inlineStr">
        <is>
          <t>Control Activities</t>
        </is>
      </c>
      <c r="B12" s="17" t="n">
        <v>10</v>
      </c>
      <c r="C12" s="16" t="inlineStr">
        <is>
          <t>Selects &amp; develops control activities</t>
        </is>
      </c>
      <c r="D12" s="16" t="inlineStr">
        <is>
          <t>REV-*, EXP-*, INV-*, GL-*, REC-*</t>
        </is>
      </c>
    </row>
    <row r="13">
      <c r="A13" s="25" t="inlineStr">
        <is>
          <t>Control Activities</t>
        </is>
      </c>
      <c r="B13" s="11" t="n">
        <v>11</v>
      </c>
      <c r="C13" s="25" t="inlineStr">
        <is>
          <t>Selects &amp; develops GENERAL CONTROLS over technology (ITGC)</t>
        </is>
      </c>
      <c r="D13" s="25" t="inlineStr">
        <is>
          <t>All ITGC-AC/CM/SD/OP</t>
        </is>
      </c>
    </row>
    <row r="14">
      <c r="A14" s="16" t="inlineStr">
        <is>
          <t>Control Activities</t>
        </is>
      </c>
      <c r="B14" s="17" t="n">
        <v>12</v>
      </c>
      <c r="C14" s="16" t="inlineStr">
        <is>
          <t>Deploys through policies &amp; procedures</t>
        </is>
      </c>
      <c r="D14" s="16" t="inlineStr">
        <is>
          <t>SDLC/DoA/close policies (to author)</t>
        </is>
      </c>
    </row>
    <row r="15">
      <c r="A15" s="12" t="inlineStr">
        <is>
          <t>Information &amp; Comm.</t>
        </is>
      </c>
      <c r="B15" s="13" t="n">
        <v>13</v>
      </c>
      <c r="C15" s="12" t="inlineStr">
        <is>
          <t>Uses relevant, quality information</t>
        </is>
      </c>
      <c r="D15" s="12" t="inlineStr">
        <is>
          <t>REV-04, ITGC-AC-10/11, GL-*</t>
        </is>
      </c>
    </row>
    <row r="16">
      <c r="A16" s="16" t="inlineStr">
        <is>
          <t>Information &amp; Comm.</t>
        </is>
      </c>
      <c r="B16" s="17" t="n">
        <v>14</v>
      </c>
      <c r="C16" s="16" t="inlineStr">
        <is>
          <t>Communicates internally</t>
        </is>
      </c>
      <c r="D16" s="16" t="inlineStr">
        <is>
          <t>Close calendar / reporting</t>
        </is>
      </c>
    </row>
    <row r="17">
      <c r="A17" s="12" t="inlineStr">
        <is>
          <t>Information &amp; Comm.</t>
        </is>
      </c>
      <c r="B17" s="13" t="n">
        <v>15</v>
      </c>
      <c r="C17" s="12" t="inlineStr">
        <is>
          <t>Communicates externally</t>
        </is>
      </c>
      <c r="D17" s="12" t="inlineStr">
        <is>
          <t>ELC-04; investor/auditor comms</t>
        </is>
      </c>
    </row>
    <row r="18">
      <c r="A18" s="16" t="inlineStr">
        <is>
          <t>Monitoring</t>
        </is>
      </c>
      <c r="B18" s="17" t="n">
        <v>16</v>
      </c>
      <c r="C18" s="16" t="inlineStr">
        <is>
          <t>Ongoing &amp;/or separate evaluations</t>
        </is>
      </c>
      <c r="D18" s="16" t="inlineStr">
        <is>
          <t>REV-05, REC-01/02, ITGC-SD-03, ELC-06</t>
        </is>
      </c>
    </row>
    <row r="19">
      <c r="A19" s="12" t="inlineStr">
        <is>
          <t>Monitoring</t>
        </is>
      </c>
      <c r="B19" s="13" t="n">
        <v>17</v>
      </c>
      <c r="C19" s="12" t="inlineStr">
        <is>
          <t>Evaluates &amp; communicates deficiencies</t>
        </is>
      </c>
      <c r="D19" s="12" t="inlineStr">
        <is>
          <t>Deficiency log / 404(a) assessment</t>
        </is>
      </c>
    </row>
  </sheetData>
  <mergeCells count="1">
    <mergeCell ref="A1:D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B2:E19"/>
  <sheetViews>
    <sheetView showGridLines="0" workbookViewId="0">
      <selection activeCell="A1" sqref="A1"/>
    </sheetView>
  </sheetViews>
  <sheetFormatPr baseColWidth="8" defaultRowHeight="15"/>
  <cols>
    <col width="3" customWidth="1" min="1" max="1"/>
    <col width="22" customWidth="1" min="2" max="2"/>
    <col width="12" customWidth="1" min="3" max="3"/>
    <col width="3" customWidth="1" min="4" max="4"/>
    <col width="40" customWidth="1" min="5" max="5"/>
  </cols>
  <sheetData>
    <row r="2">
      <c r="B2" s="26" t="inlineStr">
        <is>
          <t>ICFR Readiness — Control Summary</t>
        </is>
      </c>
    </row>
    <row r="4">
      <c r="B4" s="27" t="inlineStr">
        <is>
          <t>By Status</t>
        </is>
      </c>
    </row>
    <row r="5">
      <c r="B5" s="28" t="inlineStr">
        <is>
          <t>Implemented</t>
        </is>
      </c>
      <c r="C5" s="29">
        <f>COUNTIF(RCM!$Q$2:$Q$130,B5)</f>
        <v/>
      </c>
    </row>
    <row r="6">
      <c r="B6" s="30" t="inlineStr">
        <is>
          <t>Partial</t>
        </is>
      </c>
      <c r="C6" s="29">
        <f>COUNTIF(RCM!$Q$2:$Q$130,B6)</f>
        <v/>
      </c>
    </row>
    <row r="7">
      <c r="B7" s="31" t="inlineStr">
        <is>
          <t>Gap</t>
        </is>
      </c>
      <c r="C7" s="29">
        <f>COUNTIF(RCM!$Q$2:$Q$130,B7)</f>
        <v/>
      </c>
    </row>
    <row r="8">
      <c r="B8" s="32" t="inlineStr">
        <is>
          <t>Total</t>
        </is>
      </c>
      <c r="C8" s="32">
        <f>COUNTA(RCM!$A$2:$A$130)</f>
        <v/>
      </c>
    </row>
    <row r="10">
      <c r="B10" s="27" t="inlineStr">
        <is>
          <t>By Category</t>
        </is>
      </c>
    </row>
    <row r="11">
      <c r="B11" s="29" t="inlineStr">
        <is>
          <t>Entity</t>
        </is>
      </c>
      <c r="C11" s="29">
        <f>COUNTIF(RCM!$C$2:$C$130,B11)</f>
        <v/>
      </c>
    </row>
    <row r="12">
      <c r="B12" s="29" t="inlineStr">
        <is>
          <t>ITGC</t>
        </is>
      </c>
      <c r="C12" s="29">
        <f>COUNTIF(RCM!$C$2:$C$130,B12)</f>
        <v/>
      </c>
    </row>
    <row r="13">
      <c r="B13" s="29" t="inlineStr">
        <is>
          <t>Application</t>
        </is>
      </c>
      <c r="C13" s="29">
        <f>COUNTIF(RCM!$C$2:$C$130,B13)</f>
        <v/>
      </c>
    </row>
    <row r="15">
      <c r="B15" s="32" t="inlineStr">
        <is>
          <t>% Implemented</t>
        </is>
      </c>
      <c r="C15" s="33">
        <f>IFERROR(C5/C8,0)</f>
        <v/>
      </c>
    </row>
    <row r="17">
      <c r="B17" s="9" t="inlineStr">
        <is>
          <t>Read with the 'RCM' tab (full control detail + tests), 'Gap Remediation' (sequenced fixes), and 'COSO Mapping' (17-principle coverage). Status counts update automatically from the RCM.</t>
        </is>
      </c>
    </row>
    <row r="18"/>
    <row r="19"/>
  </sheetData>
  <mergeCells count="2">
    <mergeCell ref="B2:E2"/>
    <mergeCell ref="B17:E19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2026-06-26T12:17:43Z</dcterms:created>
  <dcterms:modified xmlns:dcterms="http://purl.org/dc/terms/" xmlns:xsi="http://www.w3.org/2001/XMLSchema-instance" xsi:type="dcterms:W3CDTF">2026-06-26T12:17:43Z</dcterms:modified>
</cp:coreProperties>
</file>