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'RCM'!$A$1:$Q$80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GL-01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All</t>
        </is>
      </c>
      <c r="E59" s="16" t="inlineStr">
        <is>
          <t>Unbalanced / one-sided journal entries.</t>
        </is>
      </c>
      <c r="F59" s="16" t="inlineStr">
        <is>
          <t>Accuracy</t>
        </is>
      </c>
      <c r="G59" s="16" t="inlineStr">
        <is>
          <t>Double-entry balanced-by-construction — Σdebit=Σcredit enforced; each line single-sided &amp; non-negative.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JE</t>
        </is>
      </c>
      <c r="K59" s="16" t="inlineStr">
        <is>
          <t>Controller</t>
        </is>
      </c>
      <c r="L59" s="17" t="inlineStr">
        <is>
          <t>P10</t>
        </is>
      </c>
      <c r="M59" s="16" t="inlineStr">
        <is>
          <t>ledger.service.ts (postEntry — UNBALANCED / INVALID_LINE)</t>
        </is>
      </c>
      <c r="N59" s="16" t="inlineStr">
        <is>
          <t>Inspect balance + line invariants.</t>
        </is>
      </c>
      <c r="O59" s="16" t="inlineStr">
        <is>
          <t>Attempt unbalanced JE → rejected.</t>
        </is>
      </c>
      <c r="P59" s="16" t="inlineStr">
        <is>
          <t>Invariant test</t>
        </is>
      </c>
      <c r="Q59" s="19" t="inlineStr">
        <is>
          <t>Implemented</t>
        </is>
      </c>
    </row>
    <row r="60">
      <c r="A60" s="11" t="inlineStr">
        <is>
          <t>GL-02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Postings to a closed period distort reported results.</t>
        </is>
      </c>
      <c r="F60" s="12" t="inlineStr">
        <is>
          <t>Cutoff</t>
        </is>
      </c>
      <c r="G60" s="12" t="inlineStr">
        <is>
          <t>Period-close lockout — postings to a CLOSED fiscal period are rejected (per-tenant calendar).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Controller</t>
        </is>
      </c>
      <c r="L60" s="13" t="inlineStr">
        <is>
          <t>P10</t>
        </is>
      </c>
      <c r="M60" s="12" t="inlineStr">
        <is>
          <t>ledger.service.ts (postEntry PERIOD_CLOSED); fiscal_periods</t>
        </is>
      </c>
      <c r="N60" s="12" t="inlineStr">
        <is>
          <t>Inspect close check.</t>
        </is>
      </c>
      <c r="O60" s="12" t="inlineStr">
        <is>
          <t>Post to closed period → rejected; review exceptions.</t>
        </is>
      </c>
      <c r="P60" s="12" t="inlineStr">
        <is>
          <t>Close-lock test</t>
        </is>
      </c>
      <c r="Q60" s="19" t="inlineStr">
        <is>
          <t>Implemented</t>
        </is>
      </c>
    </row>
    <row r="61">
      <c r="A61" s="15" t="inlineStr">
        <is>
          <t>GL-03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Equity</t>
        </is>
      </c>
      <c r="E61" s="16" t="inlineStr">
        <is>
          <t>Unauthorized year-end close / RE roll.</t>
        </is>
      </c>
      <c r="F61" s="16" t="inlineStr">
        <is>
          <t>Cutoff/Authorization</t>
        </is>
      </c>
      <c r="G61" s="16" t="inlineStr">
        <is>
          <t>Year-end close restricted to 'exec'; closing entries roll to retained earnings.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Annual</t>
        </is>
      </c>
      <c r="K61" s="16" t="inlineStr">
        <is>
          <t>CFO / Controller</t>
        </is>
      </c>
      <c r="L61" s="17" t="inlineStr">
        <is>
          <t>P10/P11</t>
        </is>
      </c>
      <c r="M61" s="16" t="inlineStr">
        <is>
          <t>ledger.controller.ts (close-year @Permissions exec); closeYear</t>
        </is>
      </c>
      <c r="N61" s="16" t="inlineStr">
        <is>
          <t>Inspect permission + closing logic.</t>
        </is>
      </c>
      <c r="O61" s="16" t="inlineStr">
        <is>
          <t>Attempt close w/o exec → 403; review annual close.</t>
        </is>
      </c>
      <c r="P61" s="16" t="inlineStr">
        <is>
          <t>Close package</t>
        </is>
      </c>
      <c r="Q61" s="19" t="inlineStr">
        <is>
          <t>Implemented</t>
        </is>
      </c>
    </row>
    <row r="62">
      <c r="A62" s="11" t="inlineStr">
        <is>
          <t>GL-04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Concurrent posting double-books the same source doc.</t>
        </is>
      </c>
      <c r="F62" s="12" t="inlineStr">
        <is>
          <t>Completeness/Accuracy</t>
        </is>
      </c>
      <c r="G62" s="12" t="inlineStr">
        <is>
          <t>Ledger idempotency — UNIQUE (tenant,source,source_ref,ledger) + ON CONFLICT DO NOTHING in postEntry.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JE</t>
        </is>
      </c>
      <c r="K62" s="12" t="inlineStr">
        <is>
          <t>Eng Lead / Controller</t>
        </is>
      </c>
      <c r="L62" s="13" t="inlineStr">
        <is>
          <t>P10</t>
        </is>
      </c>
      <c r="M62" s="12" t="inlineStr">
        <is>
          <t>schema/ledger.ts (ux_je_idem); ledger.service.ts; migration 0058</t>
        </is>
      </c>
      <c r="N62" s="12" t="inlineStr">
        <is>
          <t>Inspect unique index + conflict handling.</t>
        </is>
      </c>
      <c r="O62" s="12" t="inlineStr">
        <is>
          <t>Concurrent identical post → single entry.</t>
        </is>
      </c>
      <c r="P62" s="12" t="inlineStr">
        <is>
          <t>Dedup test</t>
        </is>
      </c>
      <c r="Q62" s="19" t="inlineStr">
        <is>
          <t>Implemented</t>
        </is>
      </c>
    </row>
    <row r="63">
      <c r="A63" s="15" t="inlineStr">
        <is>
          <t>GL-05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All</t>
        </is>
      </c>
      <c r="E63" s="16" t="inlineStr">
        <is>
          <t>Manual JE posted without independent review (override risk).</t>
        </is>
      </c>
      <c r="F63" s="16" t="inlineStr">
        <is>
          <t>Authorization</t>
        </is>
      </c>
      <c r="G63" s="16" t="inlineStr">
        <is>
          <t>Manual journal-entry maker-checker — preparer ≠ approver before a manual JE posts.</t>
        </is>
      </c>
      <c r="H63" s="17" t="inlineStr">
        <is>
          <t>Prev</t>
        </is>
      </c>
      <c r="I63" s="17" t="inlineStr">
        <is>
          <t>Auto+Manual</t>
        </is>
      </c>
      <c r="J63" s="17" t="inlineStr">
        <is>
          <t>Per manual JE</t>
        </is>
      </c>
      <c r="K63" s="16" t="inlineStr">
        <is>
          <t>Controller</t>
        </is>
      </c>
      <c r="L63" s="17" t="inlineStr">
        <is>
          <t>P10</t>
        </is>
      </c>
      <c r="M63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63" s="16" t="inlineStr">
        <is>
          <t>Inspect JE approval routing.</t>
        </is>
      </c>
      <c r="O63" s="16" t="inlineStr">
        <is>
          <t>Sample manual JEs: approver ≠ preparer; Draft excluded from balances until approved (re-performed by the harness).</t>
        </is>
      </c>
      <c r="P63" s="16" t="inlineStr">
        <is>
          <t>JE approvals</t>
        </is>
      </c>
      <c r="Q63" s="19" t="inlineStr">
        <is>
          <t>Implemented</t>
        </is>
      </c>
    </row>
    <row r="64">
      <c r="A64" s="11" t="inlineStr">
        <is>
          <t>GL-06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Operator mis-posts to another tenant's books.</t>
        </is>
      </c>
      <c r="F64" s="12" t="inlineStr">
        <is>
          <t>Validity</t>
        </is>
      </c>
      <c r="G64" s="12" t="inlineStr">
        <is>
          <t>HQ cross-tenant posting gated to Admin (explicit tenant override); others pinned to context (also RLS).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JE</t>
        </is>
      </c>
      <c r="K64" s="12" t="inlineStr">
        <is>
          <t>Eng Lead</t>
        </is>
      </c>
      <c r="L64" s="13" t="inlineStr">
        <is>
          <t>P10/P11</t>
        </is>
      </c>
      <c r="M64" s="12" t="inlineStr">
        <is>
          <t>ledger.controller.ts (hqTenant)</t>
        </is>
      </c>
      <c r="N64" s="12" t="inlineStr">
        <is>
          <t>Inspect Admin gating of tenant_id.</t>
        </is>
      </c>
      <c r="O64" s="12" t="inlineStr">
        <is>
          <t>Non-Admin tenant override ignored; Admin audited.</t>
        </is>
      </c>
      <c r="P64" s="12" t="inlineStr">
        <is>
          <t>Override test</t>
        </is>
      </c>
      <c r="Q64" s="19" t="inlineStr">
        <is>
          <t>Implemented</t>
        </is>
      </c>
    </row>
    <row r="65">
      <c r="A65" s="15" t="inlineStr">
        <is>
          <t>GL-07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Cash</t>
        </is>
      </c>
      <c r="E65" s="16" t="inlineStr">
        <is>
          <t>Statement of cash flows mis-stated or doesn't tie to the change in cash.</t>
        </is>
      </c>
      <c r="F65" s="16" t="inlineStr">
        <is>
          <t>Accuracy/Completeness</t>
        </is>
      </c>
      <c r="G65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5" s="17" t="inlineStr">
        <is>
          <t>Det</t>
        </is>
      </c>
      <c r="I65" s="17" t="inlineStr">
        <is>
          <t>Automated</t>
        </is>
      </c>
      <c r="J65" s="17" t="inlineStr">
        <is>
          <t>Per period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ledger.service.ts (cashFlowStatement, cashFlowDirect, cashFlowForecast); ledger.controller.ts (GET cash-flow, cash-flow-direct, cash-flow-forecast); cutover/basics.ts (ToE)</t>
        </is>
      </c>
      <c r="N65" s="16" t="inlineStr">
        <is>
          <t>Inspect SCF derivation + reconciliation flag; inspect direct-method bucketing and forecast projection.</t>
        </is>
      </c>
      <c r="O65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5" s="16" t="inlineStr">
        <is>
          <t>Cash-flow reconciliation; direct-method buckets; forecast schedule</t>
        </is>
      </c>
      <c r="Q65" s="19" t="inlineStr">
        <is>
          <t>Implemented</t>
        </is>
      </c>
    </row>
    <row r="66">
      <c r="A66" s="11" t="inlineStr">
        <is>
          <t>GL-08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All</t>
        </is>
      </c>
      <c r="E66" s="12" t="inlineStr">
        <is>
          <t>Standing/period accruals missed, posted unbalanced, or posted without approval; manual re-keying error.</t>
        </is>
      </c>
      <c r="F66" s="12" t="inlineStr">
        <is>
          <t>Completeness/Accuracy/Authorization</t>
        </is>
      </c>
      <c r="G66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due date / per template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6" s="12" t="inlineStr">
        <is>
          <t>Inspect template balance validation + scheduled posting as Draft + idempotency.</t>
        </is>
      </c>
      <c r="O66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6" s="12" t="inlineStr">
        <is>
          <t>Recurring-journal templates; scheduled run log; JE approvals</t>
        </is>
      </c>
      <c r="Q66" s="19" t="inlineStr">
        <is>
          <t>Implemented</t>
        </is>
      </c>
    </row>
    <row r="67">
      <c r="A67" s="15" t="inlineStr">
        <is>
          <t>GL-09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Prepaid expenses; Operating expense</t>
        </is>
      </c>
      <c r="E67" s="16" t="inlineStr">
        <is>
          <t>Prepaid expense not amortized over its term — expense mis-stated, prepaid asset overstated.</t>
        </is>
      </c>
      <c r="F67" s="16" t="inlineStr">
        <is>
          <t>Accuracy/Completeness</t>
        </is>
      </c>
      <c r="G67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67" s="17" t="inlineStr">
        <is>
          <t>Det</t>
        </is>
      </c>
      <c r="I67" s="17" t="inlineStr">
        <is>
          <t>Automated</t>
        </is>
      </c>
      <c r="J67" s="17" t="inlineStr">
        <is>
          <t>Per period / per schedule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67" s="16" t="inlineStr">
        <is>
          <t>Inspect amortization slice + final-period remainder + idempotency.</t>
        </is>
      </c>
      <c r="O67" s="16" t="inlineStr">
        <is>
          <t>Register a 12-month prepaid; run amortizes 1/12 to expense; re-run posts nothing (re-performed by the harness).</t>
        </is>
      </c>
      <c r="P67" s="16" t="inlineStr">
        <is>
          <t>Prepaid schedules; amortization run log</t>
        </is>
      </c>
      <c r="Q67" s="19" t="inlineStr">
        <is>
          <t>Implemented</t>
        </is>
      </c>
    </row>
    <row r="68">
      <c r="A68" s="11" t="inlineStr">
        <is>
          <t>EXP-07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Cash; Operating expense</t>
        </is>
      </c>
      <c r="E68" s="12" t="inlineStr">
        <is>
          <t>Petty-cash / employee advance issued but never accounted for — cash leakage, expense unrecorded.</t>
        </is>
      </c>
      <c r="F68" s="12" t="inlineStr">
        <is>
          <t>Existence/Completeness</t>
        </is>
      </c>
      <c r="G68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advance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68" s="12" t="inlineStr">
        <is>
          <t>Inspect issue/settle GL + settlement reconciliation guard.</t>
        </is>
      </c>
      <c r="O68" s="12" t="inlineStr">
        <is>
          <t>Issue an advance (1180 up); settle 700+300 clears 1180; mismatched settle → SETTLE_MISMATCH (re-performed by the harness).</t>
        </is>
      </c>
      <c r="P68" s="12" t="inlineStr">
        <is>
          <t>Advance register; outstanding float</t>
        </is>
      </c>
      <c r="Q68" s="19" t="inlineStr">
        <is>
          <t>Implemented</t>
        </is>
      </c>
    </row>
    <row r="69">
      <c r="A69" s="15" t="inlineStr">
        <is>
          <t>FA-07</t>
        </is>
      </c>
      <c r="B69" s="16" t="inlineStr">
        <is>
          <t>Fixed Assets</t>
        </is>
      </c>
      <c r="C69" s="17" t="inlineStr">
        <is>
          <t>Application</t>
        </is>
      </c>
      <c r="D69" s="16" t="inlineStr">
        <is>
          <t>Property, Plant &amp; Equipment; Equity</t>
        </is>
      </c>
      <c r="E69" s="16" t="inlineStr">
        <is>
          <t>Carrying amount not adjusted for revaluation/impairment — asset over/understated.</t>
        </is>
      </c>
      <c r="F69" s="16" t="inlineStr">
        <is>
          <t>Valuation</t>
        </is>
      </c>
      <c r="G69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event</t>
        </is>
      </c>
      <c r="K69" s="16" t="inlineStr">
        <is>
          <t>FaAccountant / Controller</t>
        </is>
      </c>
      <c r="L69" s="17" t="inlineStr">
        <is>
          <t>P10</t>
        </is>
      </c>
      <c r="M69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69" s="16" t="inlineStr">
        <is>
          <t>Inspect revaluation/impairment routing + audit log + disposal recycling.</t>
        </is>
      </c>
      <c r="O69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69" s="16" t="inlineStr">
        <is>
          <t>Revaluation log; disposal recycling JE</t>
        </is>
      </c>
      <c r="Q69" s="19" t="inlineStr">
        <is>
          <t>Implemented</t>
        </is>
      </c>
    </row>
    <row r="70">
      <c r="A70" s="11" t="inlineStr">
        <is>
          <t>LSE-01</t>
        </is>
      </c>
      <c r="B70" s="12" t="inlineStr">
        <is>
          <t>Leases</t>
        </is>
      </c>
      <c r="C70" s="13" t="inlineStr">
        <is>
          <t>Application</t>
        </is>
      </c>
      <c r="D70" s="12" t="inlineStr">
        <is>
          <t>Right-of-use assets; Lease liabilities</t>
        </is>
      </c>
      <c r="E70" s="12" t="inlineStr">
        <is>
          <t>Lease not capitalised (IFRS 16 / TFRS 16) — ROU asset + lease liability omitted; interest/depreciation mis-stated.</t>
        </is>
      </c>
      <c r="F70" s="12" t="inlineStr">
        <is>
          <t>Completeness/Accuracy/Valuation</t>
        </is>
      </c>
      <c r="G70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0" s="13" t="inlineStr">
        <is>
          <t>Det</t>
        </is>
      </c>
      <c r="I70" s="13" t="inlineStr">
        <is>
          <t>Automated</t>
        </is>
      </c>
      <c r="J70" s="13" t="inlineStr">
        <is>
          <t>Per period / per lease</t>
        </is>
      </c>
      <c r="K70" s="12" t="inlineStr">
        <is>
          <t>Controller</t>
        </is>
      </c>
      <c r="L70" s="13" t="inlineStr">
        <is>
          <t>P10</t>
        </is>
      </c>
      <c r="M70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0" s="12" t="inlineStr">
        <is>
          <t>Inspect PV recognition + periodic interest/payment/depreciation + final-period clearing + modification remeasurement.</t>
        </is>
      </c>
      <c r="O70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0" s="12" t="inlineStr">
        <is>
          <t>Lease register; periodic run log; modification remeasurement</t>
        </is>
      </c>
      <c r="Q70" s="19" t="inlineStr">
        <is>
          <t>Implemented</t>
        </is>
      </c>
    </row>
    <row r="71">
      <c r="A71" s="15" t="inlineStr">
        <is>
          <t>REC-01</t>
        </is>
      </c>
      <c r="B71" s="16" t="inlineStr">
        <is>
          <t>Reconciliation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Subledgers diverge from GL undetected.</t>
        </is>
      </c>
      <c r="F71" s="16" t="inlineStr">
        <is>
          <t>Completeness/Accuracy</t>
        </is>
      </c>
      <c r="G71" s="16" t="inlineStr">
        <is>
          <t>Subledger-to-GL reconciliation per period: import GL, auto-match, certify (sign-off via 'approvals').</t>
        </is>
      </c>
      <c r="H71" s="17" t="inlineStr">
        <is>
          <t>Det</t>
        </is>
      </c>
      <c r="I71" s="17" t="inlineStr">
        <is>
          <t>Auto+Manual</t>
        </is>
      </c>
      <c r="J71" s="17" t="inlineStr">
        <is>
          <t>Monthly</t>
        </is>
      </c>
      <c r="K71" s="16" t="inlineStr">
        <is>
          <t>Controller</t>
        </is>
      </c>
      <c r="L71" s="17" t="inlineStr">
        <is>
          <t>P16</t>
        </is>
      </c>
      <c r="M71" s="16" t="inlineStr">
        <is>
          <t>reconciliation.service.ts (importGlItems/autoMatch/certify)</t>
        </is>
      </c>
      <c r="N71" s="16" t="inlineStr">
        <is>
          <t>Inspect recon + certify gate.</t>
        </is>
      </c>
      <c r="O71" s="16" t="inlineStr">
        <is>
          <t>Sample periods: reconciled, unmatched cleared, certified.</t>
        </is>
      </c>
      <c r="P71" s="16" t="inlineStr">
        <is>
          <t>Certified recon</t>
        </is>
      </c>
      <c r="Q71" s="19" t="inlineStr">
        <is>
          <t>Implemented</t>
        </is>
      </c>
    </row>
    <row r="72">
      <c r="A72" s="11" t="inlineStr">
        <is>
          <t>REC-02</t>
        </is>
      </c>
      <c r="B72" s="12" t="inlineStr">
        <is>
          <t>Reconciliation</t>
        </is>
      </c>
      <c r="C72" s="13" t="inlineStr">
        <is>
          <t>Application</t>
        </is>
      </c>
      <c r="D72" s="12" t="inlineStr">
        <is>
          <t>Cash</t>
        </is>
      </c>
      <c r="E72" s="12" t="inlineStr">
        <is>
          <t>Bank balance not reconciled to GL.</t>
        </is>
      </c>
      <c r="F72" s="12" t="inlineStr">
        <is>
          <t>Existence/Completeness</t>
        </is>
      </c>
      <c r="G72" s="12" t="inlineStr">
        <is>
          <t>Bank reconciliation against statements.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Monthly</t>
        </is>
      </c>
      <c r="K72" s="12" t="inlineStr">
        <is>
          <t>Controller</t>
        </is>
      </c>
      <c r="L72" s="13" t="inlineStr">
        <is>
          <t>P16</t>
        </is>
      </c>
      <c r="M72" s="12" t="inlineStr">
        <is>
          <t>bank module; drizzle/0015_bank_reconciliation</t>
        </is>
      </c>
      <c r="N72" s="12" t="inlineStr">
        <is>
          <t>Inspect bank-rec process.</t>
        </is>
      </c>
      <c r="O72" s="12" t="inlineStr">
        <is>
          <t>Sample months reconciled &amp; reviewed.</t>
        </is>
      </c>
      <c r="P72" s="12" t="inlineStr">
        <is>
          <t>Bank rec</t>
        </is>
      </c>
      <c r="Q72" s="19" t="inlineStr">
        <is>
          <t>Implemented</t>
        </is>
      </c>
    </row>
    <row r="73">
      <c r="A73" s="15" t="inlineStr">
        <is>
          <t>REC-03</t>
        </is>
      </c>
      <c r="B73" s="16" t="inlineStr">
        <is>
          <t>Reconciliation</t>
        </is>
      </c>
      <c r="C73" s="17" t="inlineStr">
        <is>
          <t>Application</t>
        </is>
      </c>
      <c r="D73" s="16" t="inlineStr">
        <is>
          <t>Consolidation</t>
        </is>
      </c>
      <c r="E73" s="16" t="inlineStr">
        <is>
          <t>Intercompany balances not eliminated/agreed.</t>
        </is>
      </c>
      <c r="F73" s="16" t="inlineStr">
        <is>
          <t>Accuracy</t>
        </is>
      </c>
      <c r="G73" s="16" t="inlineStr">
        <is>
          <t>Intercompany reconciliation &amp; elimination on consolidation.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Period</t>
        </is>
      </c>
      <c r="K73" s="16" t="inlineStr">
        <is>
          <t>Group Controller</t>
        </is>
      </c>
      <c r="L73" s="17" t="inlineStr">
        <is>
          <t>P16</t>
        </is>
      </c>
      <c r="M73" s="16" t="inlineStr">
        <is>
          <t>intercompany; consolidation</t>
        </is>
      </c>
      <c r="N73" s="16" t="inlineStr">
        <is>
          <t>Inspect IC matching + elimination.</t>
        </is>
      </c>
      <c r="O73" s="16" t="inlineStr">
        <is>
          <t>Sample IC pairs agree &amp; eliminate.</t>
        </is>
      </c>
      <c r="P73" s="16" t="inlineStr">
        <is>
          <t>IC recon</t>
        </is>
      </c>
      <c r="Q73" s="18" t="inlineStr">
        <is>
          <t>Partial</t>
        </is>
      </c>
    </row>
    <row r="74">
      <c r="A74" s="11" t="inlineStr">
        <is>
          <t>TAX-01</t>
        </is>
      </c>
      <c r="B74" s="12" t="inlineStr">
        <is>
          <t>Tax</t>
        </is>
      </c>
      <c r="C74" s="13" t="inlineStr">
        <is>
          <t>Application</t>
        </is>
      </c>
      <c r="D74" s="12" t="inlineStr">
        <is>
          <t>Tax (VAT)</t>
        </is>
      </c>
      <c r="E74" s="12" t="inlineStr">
        <is>
          <t>VAT computed incorrectly → filing/penalty risk.</t>
        </is>
      </c>
      <c r="F74" s="12" t="inlineStr">
        <is>
          <t>Accuracy</t>
        </is>
      </c>
      <c r="G74" s="12" t="inlineStr">
        <is>
          <t>VAT via pluggable provider (TH 7%); unit-tested; no hard-coded rate.</t>
        </is>
      </c>
      <c r="H74" s="13" t="inlineStr">
        <is>
          <t>Auto</t>
        </is>
      </c>
      <c r="I74" s="13" t="inlineStr">
        <is>
          <t>Automated</t>
        </is>
      </c>
      <c r="J74" s="13" t="inlineStr">
        <is>
          <t>Per txn</t>
        </is>
      </c>
      <c r="K74" s="12" t="inlineStr">
        <is>
          <t>Tax / Controller</t>
        </is>
      </c>
      <c r="L74" s="13" t="inlineStr">
        <is>
          <t>P10</t>
        </is>
      </c>
      <c r="M74" s="12" t="inlineStr">
        <is>
          <t>tax/tax-providers.ts; tax.service.ts; test/unit.test.ts</t>
        </is>
      </c>
      <c r="N74" s="12" t="inlineStr">
        <is>
          <t>Inspect rate provider + tests.</t>
        </is>
      </c>
      <c r="O74" s="12" t="inlineStr">
        <is>
          <t>Re-perform VAT on sample; tie to return.</t>
        </is>
      </c>
      <c r="P74" s="12" t="inlineStr">
        <is>
          <t>VAT tests</t>
        </is>
      </c>
      <c r="Q74" s="19" t="inlineStr">
        <is>
          <t>Implemented</t>
        </is>
      </c>
    </row>
    <row r="75">
      <c r="A75" s="15" t="inlineStr">
        <is>
          <t>TAX-02</t>
        </is>
      </c>
      <c r="B75" s="16" t="inlineStr">
        <is>
          <t>Tax</t>
        </is>
      </c>
      <c r="C75" s="17" t="inlineStr">
        <is>
          <t>Application</t>
        </is>
      </c>
      <c r="D75" s="16" t="inlineStr">
        <is>
          <t>Tax; Revenue</t>
        </is>
      </c>
      <c r="E75" s="16" t="inlineStr">
        <is>
          <t>Non-compliant e-Tax invoice / not transmitted to ETDA.</t>
        </is>
      </c>
      <c r="F75" s="16" t="inlineStr">
        <is>
          <t>Accuracy/Compliance</t>
        </is>
      </c>
      <c r="G75" s="16" t="inlineStr">
        <is>
          <t>e-Tax invoice (ETDA UBL 2.1 XML) generation + email with CC to ETDA timestamp mailbox.</t>
        </is>
      </c>
      <c r="H75" s="17" t="inlineStr">
        <is>
          <t>Auto</t>
        </is>
      </c>
      <c r="I75" s="17" t="inlineStr">
        <is>
          <t>Automated</t>
        </is>
      </c>
      <c r="J75" s="17" t="inlineStr">
        <is>
          <t>Per invoice</t>
        </is>
      </c>
      <c r="K75" s="16" t="inlineStr">
        <is>
          <t>Tax</t>
        </is>
      </c>
      <c r="L75" s="17" t="inlineStr">
        <is>
          <t>P10/P13</t>
        </is>
      </c>
      <c r="M75" s="16" t="inlineStr">
        <is>
          <t>tax-docs/etax-xml.ts; etax-email.service.ts (tested)</t>
        </is>
      </c>
      <c r="N75" s="16" t="inlineStr">
        <is>
          <t>Inspect XML schema + email composer.</t>
        </is>
      </c>
      <c r="O75" s="16" t="inlineStr">
        <is>
          <t>Sample invoices: valid XML, correct CC/escaping.</t>
        </is>
      </c>
      <c r="P75" s="16" t="inlineStr">
        <is>
          <t>e-Tax samples</t>
        </is>
      </c>
      <c r="Q75" s="19" t="inlineStr">
        <is>
          <t>Implemented</t>
        </is>
      </c>
    </row>
    <row r="76">
      <c r="A76" s="11" t="inlineStr">
        <is>
          <t>TAX-03</t>
        </is>
      </c>
      <c r="B76" s="12" t="inlineStr">
        <is>
          <t>Tax</t>
        </is>
      </c>
      <c r="C76" s="13" t="inlineStr">
        <is>
          <t>Application</t>
        </is>
      </c>
      <c r="D76" s="12" t="inlineStr">
        <is>
          <t>Tax (WHT)</t>
        </is>
      </c>
      <c r="E76" s="12" t="inlineStr">
        <is>
          <t>Withholding tax mis-computed / not reported.</t>
        </is>
      </c>
      <c r="F76" s="12" t="inlineStr">
        <is>
          <t>Accuracy</t>
        </is>
      </c>
      <c r="G76" s="12" t="inlineStr">
        <is>
          <t>WHT computation and ภ.ง.ด. reporting.</t>
        </is>
      </c>
      <c r="H76" s="13" t="inlineStr">
        <is>
          <t>Auto</t>
        </is>
      </c>
      <c r="I76" s="13" t="inlineStr">
        <is>
          <t>Automated</t>
        </is>
      </c>
      <c r="J76" s="13" t="inlineStr">
        <is>
          <t>Per txn / monthly</t>
        </is>
      </c>
      <c r="K76" s="12" t="inlineStr">
        <is>
          <t>Tax</t>
        </is>
      </c>
      <c r="L76" s="13" t="inlineStr">
        <is>
          <t>P10</t>
        </is>
      </c>
      <c r="M76" s="12" t="inlineStr">
        <is>
          <t>tax-reports; payroll</t>
        </is>
      </c>
      <c r="N76" s="12" t="inlineStr">
        <is>
          <t>Inspect WHT logic + report.</t>
        </is>
      </c>
      <c r="O76" s="12" t="inlineStr">
        <is>
          <t>Re-perform WHT on sample; tie to filing.</t>
        </is>
      </c>
      <c r="P76" s="12" t="inlineStr">
        <is>
          <t>WHT report</t>
        </is>
      </c>
      <c r="Q76" s="18" t="inlineStr">
        <is>
          <t>Partial</t>
        </is>
      </c>
    </row>
    <row r="77">
      <c r="A77" s="15" t="inlineStr">
        <is>
          <t>PAY-01</t>
        </is>
      </c>
      <c r="B77" s="16" t="inlineStr">
        <is>
          <t>Payroll</t>
        </is>
      </c>
      <c r="C77" s="17" t="inlineStr">
        <is>
          <t>Application</t>
        </is>
      </c>
      <c r="D77" s="16" t="inlineStr">
        <is>
          <t>Payroll expense/liability</t>
        </is>
      </c>
      <c r="E77" s="16" t="inlineStr">
        <is>
          <t>Payroll, SSO and PIT mis-computed.</t>
        </is>
      </c>
      <c r="F77" s="16" t="inlineStr">
        <is>
          <t>Accuracy</t>
        </is>
      </c>
      <c r="G77" s="16" t="inlineStr">
        <is>
          <t>Payroll engine — SSO 5% (cap 750), progressive PIT, payslip net; unit-tested.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run</t>
        </is>
      </c>
      <c r="K77" s="16" t="inlineStr">
        <is>
          <t>HR / Payroll</t>
        </is>
      </c>
      <c r="L77" s="17" t="inlineStr">
        <is>
          <t>P10</t>
        </is>
      </c>
      <c r="M77" s="16" t="inlineStr">
        <is>
          <t>payroll/payroll-calc.ts; test/unit.test.ts</t>
        </is>
      </c>
      <c r="N77" s="16" t="inlineStr">
        <is>
          <t>Inspect calc + tests.</t>
        </is>
      </c>
      <c r="O77" s="16" t="inlineStr">
        <is>
          <t>Re-perform sample payslips.</t>
        </is>
      </c>
      <c r="P77" s="16" t="inlineStr">
        <is>
          <t>Payslip tests</t>
        </is>
      </c>
      <c r="Q77" s="19" t="inlineStr">
        <is>
          <t>Implemented</t>
        </is>
      </c>
    </row>
    <row r="78">
      <c r="A78" s="11" t="inlineStr">
        <is>
          <t>PAY-02</t>
        </is>
      </c>
      <c r="B78" s="12" t="inlineStr">
        <is>
          <t>Payroll</t>
        </is>
      </c>
      <c r="C78" s="13" t="inlineStr">
        <is>
          <t>Application</t>
        </is>
      </c>
      <c r="D78" s="12" t="inlineStr">
        <is>
          <t>Payroll liability</t>
        </is>
      </c>
      <c r="E78" s="12" t="inlineStr">
        <is>
          <t>Statutory items (PF/OT/leave/ภ.ง.ด.1ก) wrong.</t>
        </is>
      </c>
      <c r="F78" s="12" t="inlineStr">
        <is>
          <t>Accuracy/Compliance</t>
        </is>
      </c>
      <c r="G78" s="12" t="inlineStr">
        <is>
          <t>Provident fund, overtime, leave accrual and ภ.ง.ด.1ก reporting.</t>
        </is>
      </c>
      <c r="H78" s="13" t="inlineStr">
        <is>
          <t>Auto</t>
        </is>
      </c>
      <c r="I78" s="13" t="inlineStr">
        <is>
          <t>Automated</t>
        </is>
      </c>
      <c r="J78" s="13" t="inlineStr">
        <is>
          <t>Per run / monthly</t>
        </is>
      </c>
      <c r="K78" s="12" t="inlineStr">
        <is>
          <t>HR / Payroll</t>
        </is>
      </c>
      <c r="L78" s="13" t="inlineStr">
        <is>
          <t>P10</t>
        </is>
      </c>
      <c r="M78" s="12" t="inlineStr">
        <is>
          <t>hcm; payroll (Phase 19)</t>
        </is>
      </c>
      <c r="N78" s="12" t="inlineStr">
        <is>
          <t>Inspect statutory logic.</t>
        </is>
      </c>
      <c r="O78" s="12" t="inlineStr">
        <is>
          <t>Sample run tied to statutory filings.</t>
        </is>
      </c>
      <c r="P78" s="12" t="inlineStr">
        <is>
          <t>Filings</t>
        </is>
      </c>
      <c r="Q78" s="18" t="inlineStr">
        <is>
          <t>Partial</t>
        </is>
      </c>
    </row>
    <row r="79">
      <c r="A79" s="15" t="inlineStr">
        <is>
          <t>CON-01</t>
        </is>
      </c>
      <c r="B79" s="16" t="inlineStr">
        <is>
          <t>Consolidation &amp; FX</t>
        </is>
      </c>
      <c r="C79" s="17" t="inlineStr">
        <is>
          <t>Application</t>
        </is>
      </c>
      <c r="D79" s="16" t="inlineStr">
        <is>
          <t>Consolidation</t>
        </is>
      </c>
      <c r="E79" s="16" t="inlineStr">
        <is>
          <t>Group consolidation mis-stated (ownership/currency).</t>
        </is>
      </c>
      <c r="F79" s="16" t="inlineStr">
        <is>
          <t>Accuracy</t>
        </is>
      </c>
      <c r="G79" s="16" t="inlineStr">
        <is>
          <t>Consolidation run (ownership %, entity currency) gated by 'approvals'.</t>
        </is>
      </c>
      <c r="H79" s="17" t="inlineStr">
        <is>
          <t>Auto+Manual</t>
        </is>
      </c>
      <c r="I79" s="17" t="inlineStr">
        <is>
          <t>Period</t>
        </is>
      </c>
      <c r="J79" s="17" t="inlineStr">
        <is>
          <t>Period</t>
        </is>
      </c>
      <c r="K79" s="16" t="inlineStr">
        <is>
          <t>Group Controller</t>
        </is>
      </c>
      <c r="L79" s="17" t="inlineStr">
        <is>
          <t>P10</t>
        </is>
      </c>
      <c r="M79" s="16" t="inlineStr">
        <is>
          <t>consolidation.service.ts (runConsolidation @Permissions approvals)</t>
        </is>
      </c>
      <c r="N79" s="16" t="inlineStr">
        <is>
          <t>Inspect consolidation logic + gate.</t>
        </is>
      </c>
      <c r="O79" s="16" t="inlineStr">
        <is>
          <t>Sample period: consolidated TB ties to entities.</t>
        </is>
      </c>
      <c r="P79" s="16" t="inlineStr">
        <is>
          <t>Consol TB</t>
        </is>
      </c>
      <c r="Q79" s="19" t="inlineStr">
        <is>
          <t>Implemented</t>
        </is>
      </c>
    </row>
    <row r="80">
      <c r="A80" s="11" t="inlineStr">
        <is>
          <t>CON-02</t>
        </is>
      </c>
      <c r="B80" s="12" t="inlineStr">
        <is>
          <t>Consolidation &amp; FX</t>
        </is>
      </c>
      <c r="C80" s="13" t="inlineStr">
        <is>
          <t>Application</t>
        </is>
      </c>
      <c r="D80" s="12" t="inlineStr">
        <is>
          <t>FX gain/loss</t>
        </is>
      </c>
      <c r="E80" s="12" t="inlineStr">
        <is>
          <t>FX exposures not revalued at period-end.</t>
        </is>
      </c>
      <c r="F80" s="12" t="inlineStr">
        <is>
          <t>Valuation</t>
        </is>
      </c>
      <c r="G80" s="12" t="inlineStr">
        <is>
          <t>FX revaluation at period-end rates; unrealized FX posted (acct 5400).</t>
        </is>
      </c>
      <c r="H80" s="13" t="inlineStr">
        <is>
          <t>Auto+Manual</t>
        </is>
      </c>
      <c r="I80" s="13" t="inlineStr">
        <is>
          <t>Period-end</t>
        </is>
      </c>
      <c r="J80" s="13" t="inlineStr">
        <is>
          <t>Period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fx.service.ts (revalue / unrealized report)</t>
        </is>
      </c>
      <c r="N80" s="12" t="inlineStr">
        <is>
          <t>Inspect reval logic + rates.</t>
        </is>
      </c>
      <c r="O80" s="12" t="inlineStr">
        <is>
          <t>Recompute reval on sample balances.</t>
        </is>
      </c>
      <c r="P80" s="12" t="inlineStr">
        <is>
          <t>FX reval JE</t>
        </is>
      </c>
      <c r="Q80" s="19" t="inlineStr">
        <is>
          <t>Implemented</t>
        </is>
      </c>
    </row>
  </sheetData>
  <autoFilter ref="A1:Q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COUNTIF(RCM!$Q$2:$Q$80,B5)</f>
        <v/>
      </c>
    </row>
    <row r="6">
      <c r="B6" s="30" t="inlineStr">
        <is>
          <t>Partial</t>
        </is>
      </c>
      <c r="C6" s="29">
        <f>COUNTIF(RCM!$Q$2:$Q$80,B6)</f>
        <v/>
      </c>
    </row>
    <row r="7">
      <c r="B7" s="31" t="inlineStr">
        <is>
          <t>Gap</t>
        </is>
      </c>
      <c r="C7" s="29">
        <f>COUNTIF(RCM!$Q$2:$Q$80,B7)</f>
        <v/>
      </c>
    </row>
    <row r="8">
      <c r="B8" s="32" t="inlineStr">
        <is>
          <t>Total</t>
        </is>
      </c>
      <c r="C8" s="32">
        <f>COUNTA(RCM!$A$2:$A$80)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COUNTIF(RCM!$C$2:$C$80,B11)</f>
        <v/>
      </c>
    </row>
    <row r="12">
      <c r="B12" s="29" t="inlineStr">
        <is>
          <t>ITGC</t>
        </is>
      </c>
      <c r="C12" s="29">
        <f>COUNTIF(RCM!$C$2:$C$80,B12)</f>
        <v/>
      </c>
    </row>
    <row r="13">
      <c r="B13" s="29" t="inlineStr">
        <is>
          <t>Application</t>
        </is>
      </c>
      <c r="C13" s="29">
        <f>COUNTIF(RCM!$C$2:$C$80,B13)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2026-06-25T12:39:38Z</dcterms:created>
  <dcterms:modified xmlns:dcterms="http://purl.org/dc/terms/" xmlns:xsi="http://www.w3.org/2001/XMLSchema-instance" xsi:type="dcterms:W3CDTF">2026-06-25T12:39:39Z</dcterms:modified>
</cp:coreProperties>
</file>