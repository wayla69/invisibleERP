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6500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7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7" fillId="0" borderId="0" pivotButton="0" quotePrefix="0" xfId="0"/>
    <xf numFmtId="0" fontId="18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19" fillId="0" borderId="0" pivotButton="0" quotePrefix="0" xfId="0"/>
    <xf numFmtId="164" fontId="1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 An in-app acknowledgement register (governance module) captures each staff member's acknowledgement of the code-of-conduct version (idempotent per version) as sample-able, tenant-isolated evidence; policy issuance + the annual campaign remain an HR/PMO process.</t>
        </is>
      </c>
      <c r="H2" s="13" t="inlineStr">
        <is>
          <t>Prev</t>
        </is>
      </c>
      <c r="I2" s="13" t="inlineStr">
        <is>
          <t>Hybrid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modules/governance (ethics_acknowledgements; POST /api/governance/ethics/acknowledge, GET /api/governance/ethics/register — register gated 'users'); schema/governance.ts; drizzle/0202_governance.sql; cutover/governance.ts (ToE); policy issuance = HR process</t>
        </is>
      </c>
      <c r="N2" s="12" t="inlineStr">
        <is>
          <t>Inspect signed policy + the acknowledgement register.</t>
        </is>
      </c>
      <c r="O2" s="12" t="inlineStr">
        <is>
          <t>Re-perform: a staff acknowledgement is recorded (idempotent per version) and appears in the permission-gated, tenant-isolated register (governance harness); sample staff have a current acknowledgement.</t>
        </is>
      </c>
      <c r="P2" s="12" t="inlineStr">
        <is>
          <t>Acknowledgement register</t>
        </is>
      </c>
      <c r="Q2" s="14" t="inlineStr">
        <is>
          <t>Partial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 An in-app oversight log (governance module) records audit-committee meetings + the quarterly ICFR review &amp; sign-off (icfr_reviewed flag, attendees, minutes ref, signed_off_by) as sample-able, tenant-isolated evidence; holding the meetings + the charter remain an org/board process.</t>
        </is>
      </c>
      <c r="H3" s="17" t="inlineStr">
        <is>
          <t>Det</t>
        </is>
      </c>
      <c r="I3" s="17" t="inlineStr">
        <is>
          <t>Hybrid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modules/governance (governance_oversight; POST/GET /api/governance/oversight — gated 'users'); schema/governance.ts; drizzle/0203_governance_round2.sql; cutover/governance.ts (ToE); the meetings themselves = board process</t>
        </is>
      </c>
      <c r="N3" s="16" t="inlineStr">
        <is>
          <t>Inspect charter + the oversight log (minutes + ICFR review sign-off).</t>
        </is>
      </c>
      <c r="O3" s="16" t="inlineStr">
        <is>
          <t>Re-perform: an audit-committee meeting with the quarterly ICFR review + sign-off is recorded and appears in the permission-gated oversight log (governance harness); inspect minutes each quarter.</t>
        </is>
      </c>
      <c r="P3" s="16" t="inlineStr">
        <is>
          <t>Oversight log</t>
        </is>
      </c>
      <c r="Q3" s="14" t="inlineStr">
        <is>
          <t>Partial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 An in-app DoA matrix (governance module) records who may authorize what, up to what limit (authority_area → role → approval_limit), as the documented, sample-able approval matrix that complements the enforced RBAC + maker-checker limits (permissions.ts); the DoA policy + its annual sign-off remain a CFO/governance process.</t>
        </is>
      </c>
      <c r="H4" s="13" t="inlineStr">
        <is>
          <t>Prev</t>
        </is>
      </c>
      <c r="I4" s="13" t="inlineStr">
        <is>
          <t>Hybrid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modules/governance (delegation_of_authority; POST/GET /api/governance/doa — gated 'users'); schema/governance.ts; drizzle/0203_governance_round2.sql; cutover/governance.ts (ToE); permissions.ts (enforced RBAC); DoA policy sign-off = CFO process</t>
        </is>
      </c>
      <c r="N4" s="12" t="inlineStr">
        <is>
          <t>Inspect the DoA matrix; reconcile to RBAC roles + maker-checker limits.</t>
        </is>
      </c>
      <c r="O4" s="12" t="inlineStr">
        <is>
          <t>Re-perform: an authority line (area/role/limit) is defined and appears in the permission-gated DoA matrix (governance harness); sample approvals respect the documented thresholds.</t>
        </is>
      </c>
      <c r="P4" s="12" t="inlineStr">
        <is>
          <t>DoA matrix</t>
        </is>
      </c>
      <c r="Q4" s="14" t="inlineStr">
        <is>
          <t>Partial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 An in-app intake + case log (governance module) captures reports (anonymous-capable — the reporter is recorded only if they opt out of anonymity) with a status lifecycle (received→investigating→resolved/dismissed) handled by the audit committee/compliance; the hotline operation + non-retaliation policy remain a governance process.</t>
        </is>
      </c>
      <c r="H5" s="17" t="inlineStr">
        <is>
          <t>Det</t>
        </is>
      </c>
      <c r="I5" s="17" t="inlineStr">
        <is>
          <t>Hybrid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modules/governance (whistleblower_cases; POST /api/governance/hotline/cases anonymous-capable, GET /api/governance/hotline/cases + PATCH .../:ref — gated 'users'); schema/governance.ts; drizzle/0202_governance.sql; cutover/governance.ts (ToE); hotline operation = audit-committee process</t>
        </is>
      </c>
      <c r="N5" s="16" t="inlineStr">
        <is>
          <t>Inspect hotline setup + the case-log + resolution evidence.</t>
        </is>
      </c>
      <c r="O5" s="16" t="inlineStr">
        <is>
          <t>Re-perform: an (anonymous) report is captured with a case_ref (reporter hidden when anonymous), the audit committee reviews the tenant-isolated case log and advances a case (received→investigating) with a handler recorded; views are permission-gated (governance harness).</t>
        </is>
      </c>
      <c r="P5" s="16" t="inlineStr">
        <is>
          <t>Hotline case log</t>
        </is>
      </c>
      <c r="Q5" s="14" t="inlineStr">
        <is>
          <t>Partial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 An in-app fraud-risk register (governance module) captures identified risks with likelihood/impact, the mitigating controls (referencing the RCM control IDs), an owner, and a review status + last-reviewed stamp — the sample-able artifact that maps each fraud risk to a mitigating control; the assessment workshop itself remains a CFO/IA process.</t>
        </is>
      </c>
      <c r="H6" s="13" t="inlineStr">
        <is>
          <t>Det</t>
        </is>
      </c>
      <c r="I6" s="13" t="inlineStr">
        <is>
          <t>Hybrid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modules/governance (fraud_risks; POST/GET /api/governance/fraud-risks + PATCH .../:ref review — gated 'users'); schema/governance.ts; drizzle/0203_governance_round2.sql; cutover/governance.ts (ToE); the assessment workshop = CFO/IA process</t>
        </is>
      </c>
      <c r="N6" s="12" t="inlineStr">
        <is>
          <t>Inspect the fraud-risk register + that identified risks map to mitigating controls in this RCM.</t>
        </is>
      </c>
      <c r="O6" s="12" t="inlineStr">
        <is>
          <t>Re-perform: a fraud risk is registered (area/likelihood/impact/mitigating control), reviewed → status advances + last_reviewed_at is stamped, and appears in the permission-gated register (governance harness).</t>
        </is>
      </c>
      <c r="P6" s="12" t="inlineStr">
        <is>
          <t>Fraud-risk register</t>
        </is>
      </c>
      <c r="Q6" s="14" t="inlineStr">
        <is>
          <t>Partial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 / test / UAT sign-off.</t>
        </is>
      </c>
      <c r="F40" s="12" t="inlineStr">
        <is>
          <t>—</t>
        </is>
      </c>
      <c r="G40" s="12" t="inlineStr">
        <is>
          <t>Formal SDLC policy with gated stages: ticketed request, design + reviewer sign-off, branch-only build (no direct main), independent review (author ≠ merger), CI test gates (build/typecheck/unit + ratchet coverage + control harnesses), UAT sign-off (docs/uat positive+negative cases + traceability matrix) and a go-live sign-off via the deploy-approval gate (deployer ≠ author). Docs updated in the same change (doc-sync).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compliance/policies/08-change-management-sdlc-policy.md; docs/uat/; .github (branch protection + deploy-approval environment); .github/workflows/ci.yml (gates)</t>
        </is>
      </c>
      <c r="N40" s="12" t="inlineStr">
        <is>
          <t>Inspect the SDLC policy + a project's artefacts (design, UAT sign-off, deploy approval).</t>
        </is>
      </c>
      <c r="O40" s="12" t="inlineStr">
        <is>
          <t>Sample releases: design + UAT sign-off + go-live (deploy) approval present.</t>
        </is>
      </c>
      <c r="P40" s="12" t="inlineStr">
        <is>
          <t>SDLC policy + release artefacts</t>
        </is>
      </c>
      <c r="Q40" s="18" t="inlineStr">
        <is>
          <t>Implemented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Documented cutover reconciliation: source→target balance tie-out (GL trial balance balances Dr=Cr; AR/AP/INV/FA sub-ledgers tie to their GL control accounts), zero unexplained variance, and an independent Controller sign-off (≠ preparer) BEFORE go-live — over the idempotent opening-balance load (re-runnable on batch_ref) + the close-control tie-out steps.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docs/ops/cutover-reconciliation.md; ledger opening-balances (idempotent on batch_ref) + close.service.ts (subledger_tieout / trial_balance_review); tools/etl; cutover/opening-balances.ts (ToE)</t>
        </is>
      </c>
      <c r="N41" s="16" t="inlineStr">
        <is>
          <t>Inspect the reconciliation procedure + sign-off; re-perform a migrated trial-balance tie-out.</t>
        </is>
      </c>
      <c r="O41" s="16" t="inlineStr">
        <is>
          <t>Re-perform: load opening balances (idempotent), trial balance ties to source, sub-ledgers tie to control accounts, sign-off retained.</t>
        </is>
      </c>
      <c r="P41" s="16" t="inlineStr">
        <is>
          <t>Cutover reconciliation procedure + tie-out</t>
        </is>
      </c>
      <c r="Q41" s="18" t="inlineStr">
        <is>
          <t>Implemented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 — tests exist but coverage can silently erode with no floor.</t>
        </is>
      </c>
      <c r="F42" s="12" t="inlineStr">
        <is>
          <t>—</t>
        </is>
      </c>
      <c r="G42" s="12" t="inlineStr">
        <is>
          <t>Automated test suite is control evidence; CI archives dated results. A RATCHET coverage gate now enforces a locked floor on a curated set of pure/critical modules (vitest v8 thresholds) so coverage on them cannot regress; the set + floor ratchet up over time. Real-Postgres (pg-core) + 95 PGlite harnesses gate control behaviour.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apps/api/vitest.config.ts (coverage thresholds: stmts 60/branch 75/funcs 62/lines 60); apps/api/package.json (test:coverage); .github/workflows/ci.yml (gate in build job); apps/api/test/*.test.ts</t>
        </is>
      </c>
      <c r="N42" s="12" t="inlineStr">
        <is>
          <t>Inspect the coverage thresholds + the CI gate; map tests to key controls.</t>
        </is>
      </c>
      <c r="O42" s="12" t="inlineStr">
        <is>
          <t>Re-perform: the coverage gate fails CI when coverage on the curated set drops below the floor; review archived CI runs all green.</t>
        </is>
      </c>
      <c r="P42" s="12" t="inlineStr">
        <is>
          <t>Coverage ratchet gate + CI reports</t>
        </is>
      </c>
      <c r="Q42" s="18" t="inlineStr">
        <is>
          <t>Implemented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 with no continuity plan — backups exist but there is no documented DR/BCP: scenario playbooks, region-failover, roles/comms, degraded-mode operations, and a periodic DR test.</t>
        </is>
      </c>
      <c r="F44" s="12" t="inlineStr">
        <is>
          <t>—</t>
        </is>
      </c>
      <c r="G44" s="12" t="inlineStr">
        <is>
          <t>DR/BCP plan with RTO/RPO tiers (data &lt;30min RTO / 1h RPO; service &lt;15min; region &lt;4h), scenario playbooks (DB loss/corruption, accidental destructive change, region/provider outage, security/ransomware, dependency outage), business-continuity degraded-mode (POS sells offline + syncs; AI/payments fail-safe), roles (IC/DBA/comms/exec), and a DR TEST SCHEDULE (monthly restore drill, annual tabletop + live failover game-day with a measured-RTO checklist). Builds on OP-01 backups/restore.</t>
        </is>
      </c>
      <c r="H44" s="13" t="inlineStr">
        <is>
          <t>Prev/Det</t>
        </is>
      </c>
      <c r="I44" s="13" t="inlineStr">
        <is>
          <t>Auto+Manual</t>
        </is>
      </c>
      <c r="J44" s="13" t="inlineStr">
        <is>
          <t>Monthly drill / Annual DR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docs/ops/dr-bcp-plan.md; tools/ops/BACKUP-RUNBOOK.md + restore.sh/verify-restore.sh (OP-01); tools/ops/alibaba (restore-drill-cron)</t>
        </is>
      </c>
      <c r="N44" s="12" t="inlineStr">
        <is>
          <t>Inspect the DR/BCP plan, RTO/RPO tiers, scenario playbooks, and the DR-test schedule + checklist.</t>
        </is>
      </c>
      <c r="O44" s="12" t="inlineStr">
        <is>
          <t>Inspect the monthly restore-drill record + the annual DR-test report (measured RTO/RPO vs target).</t>
        </is>
      </c>
      <c r="P44" s="12" t="inlineStr">
        <is>
          <t>DR/BCP plan + DR test record</t>
        </is>
      </c>
      <c r="Q44" s="18" t="inlineStr">
        <is>
          <t>Implemented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 — the API runs 'blind' in production with error reporting/tracing left unconfigured, and slow paths or pool pressure are invisible until a customer reports an outage.</t>
        </is>
      </c>
      <c r="F45" s="16" t="inlineStr">
        <is>
          <t>—</t>
        </is>
      </c>
      <c r="G45" s="16" t="inlineStr">
        <is>
          <t>Monitoring + alerting with on-call. Observability is now FAIL-CLOSED in production: the boot-time env gate REFUSES to start when Sentry (errors) + OpenTelemetry (tracing) are unset, unless explicitly opted out via ALLOW_NO_OBSERVABILITY (a loud, auditable decision). A reusable ops-alert sink (captureOpsAlert) emits a structured error log + a Sentry capture for operator-facing conditions; per-request DB-transaction timing logs slow paths (SLOW_TX_MS); and an admin-gated ops-metrics endpoint surfaces DB-pool saturation, slow-request counts and the job backlog.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common/env.validation.ts (fail-closed observability gate + ALLOW_NO_OBSERVABILITY); observability/instrumentation.ts (OTel + Sentry + captureOpsAlert); observability/runtime-metrics.ts; common/tenant-tx.interceptor.ts (slow_request log + in-flight gauge); modules/jobs/jobs.controller.ts (GET /api/jobs/ops-metrics); apps/api/test/ops-observability.test.ts; docs/ops/observability-incident.md</t>
        </is>
      </c>
      <c r="N45" s="16" t="inlineStr">
        <is>
          <t>Inspect the fail-closed gate, the ops-alert sink, slow-path logging, and the metrics surface.</t>
        </is>
      </c>
      <c r="O45" s="16" t="inlineStr">
        <is>
          <t>Re-perform (unit): prod boot THROWS when Sentry/OTel unset, boots when wired or opted out; the in-flight/slow-tx gauges count correctly.</t>
        </is>
      </c>
      <c r="P45" s="16" t="inlineStr">
        <is>
          <t>Observability fail-closed gate + ops-metrics ToE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Scheduled/background financial jobs (recurring journals, lease/prepaid amortization, billing, dunning) fail silently — a job that exhausts its retries is dead-lettered with no signal, and a job whose worker crashes mid-run is left 'running' forever (a zombie the claim path never re-picks), so a missed posting goes unnoticed.</t>
        </is>
      </c>
      <c r="F46" s="12" t="inlineStr">
        <is>
          <t>Completeness</t>
        </is>
      </c>
      <c r="G46" s="12" t="inlineStr">
        <is>
          <t>Background-job failure alerting + dead-letter recovery. A job that exhausts its retries raises an operational alert (captureOpsAlert → structured error log + Sentry) instead of silently landing in 'failed'. A reaper (piggybacked on the worker poll loop, also harness-callable) detects jobs stuck in 'running' past a stale-lock threshold and requeues them if retries remain, else dead-letters + alerts. Cross-tenant counts (queued/running/failed/stuck) are exposed on the admin ops-metrics endpoint as the input to an external page-on-backlog rule. Additionally the scheduled-report/action layer (BI subscriptions: recurring journals, lease/prepaid amortization, AI-overage billing, dunning) emits the SAME ops alert + an operator-facing in-app notification when a run fails — closing the swallow gap where executeSubscription catches the error (so the worker would otherwise mark the background job 'done' and the dead-letter alert would never fire) — and every failed run is recorded for review (GET /api/bi/runs).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 / per poll</t>
        </is>
      </c>
      <c r="K46" s="12" t="inlineStr">
        <is>
          <t>DevOps / Controller</t>
        </is>
      </c>
      <c r="L46" s="13" t="inlineStr">
        <is>
          <t>P11/P16</t>
        </is>
      </c>
      <c r="M46" s="12" t="inlineStr">
        <is>
          <t>modules/jobs/job-queue.service.ts (markFailed dead-letter alert; reapStuck; opsCounts); job-worker.service.ts (maybeReap on the poll loop + reap()); observability/instrumentation.ts (captureOpsAlert); modules/jobs/jobs.controller.ts (ops-metrics); modules/bi/bi.service.ts executeSubscription (scheduled-job-failure ops alert + operator notification + failed-run record); schema/background-jobs.ts; cutover/async-jobs.ts + cutover/bi.ts (ToE)</t>
        </is>
      </c>
      <c r="N46" s="12" t="inlineStr">
        <is>
          <t>Inspect the dead-letter alert, the stuck-job reaper, the backlog metrics, and the scheduled-job failure alert path.</t>
        </is>
      </c>
      <c r="O46" s="12" t="inlineStr">
        <is>
          <t>Re-perform: a retry-exhausted job → 'failed' + ops alert; a stale 'running' job is requeued (retries left) or dead-lettered (exhausted); a fresh 'running' job is left alone; opsCounts reports the backlog (async-jobs); a failed scheduled subscription → failed run recorded + an operator ops-notification raised + reviewable in GET /api/bi/runs (bi harness).</t>
        </is>
      </c>
      <c r="P46" s="12" t="inlineStr">
        <is>
          <t>Dead-letter + reaper + scheduled-job alert ToE (async-jobs, bi)</t>
        </is>
      </c>
      <c r="Q46" s="18" t="inlineStr">
        <is>
          <t>Implemented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(ToE); cutover/compliance.ts (ICFR 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+ compliance harnesses).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4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4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4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4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4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19" t="inlineStr">
        <is>
          <t>Remediation Plan — Gap &amp; Partial controls (sequenced to the readiness timeline)</t>
        </is>
      </c>
    </row>
    <row r="2" ht="28" customHeight="1">
      <c r="A2" s="20" t="inlineStr">
        <is>
          <t>Control ID</t>
        </is>
      </c>
      <c r="B2" s="20" t="inlineStr">
        <is>
          <t>Cycle</t>
        </is>
      </c>
      <c r="C2" s="20" t="inlineStr">
        <is>
          <t>Gap / Weakness</t>
        </is>
      </c>
      <c r="D2" s="20" t="inlineStr">
        <is>
          <t>Remediation Action</t>
        </is>
      </c>
      <c r="E2" s="20" t="inlineStr">
        <is>
          <t>Owner</t>
        </is>
      </c>
      <c r="F2" s="20" t="inlineStr">
        <is>
          <t>Phase</t>
        </is>
      </c>
      <c r="G2" s="20" t="inlineStr">
        <is>
          <t>Target (relative)</t>
        </is>
      </c>
      <c r="H2" s="20" t="inlineStr">
        <is>
          <t>Priority</t>
        </is>
      </c>
    </row>
    <row r="3">
      <c r="A3" s="11" t="inlineStr">
        <is>
          <t>EXP-03</t>
        </is>
      </c>
      <c r="B3" s="13" t="inlineStr">
        <is>
          <t>Expenditure</t>
        </is>
      </c>
      <c r="C3" s="12" t="inlineStr">
        <is>
          <t>PR/PO approval workflow partial.</t>
        </is>
      </c>
      <c r="D3" s="12" t="inlineStr">
        <is>
          <t>Finalize PR/PO maker-checker against DoA thresholds.</t>
        </is>
      </c>
      <c r="E3" s="13" t="inlineStr">
        <is>
          <t>Procurement Mgr</t>
        </is>
      </c>
      <c r="F3" s="13" t="inlineStr">
        <is>
          <t>Phase 2</t>
        </is>
      </c>
      <c r="G3" s="13" t="inlineStr">
        <is>
          <t>Month 3-4</t>
        </is>
      </c>
      <c r="H3" s="21" t="inlineStr">
        <is>
          <t>Medium</t>
        </is>
      </c>
    </row>
    <row r="4">
      <c r="A4" s="15" t="inlineStr">
        <is>
          <t>INV-04</t>
        </is>
      </c>
      <c r="B4" s="17" t="inlineStr">
        <is>
          <t>Inventory &amp; COGS</t>
        </is>
      </c>
      <c r="C4" s="16" t="inlineStr">
        <is>
          <t>Stocktake variance review informal.</t>
        </is>
      </c>
      <c r="D4" s="16" t="inlineStr">
        <is>
          <t>Formalize count cadence + variance review/approval sign-off.</t>
        </is>
      </c>
      <c r="E4" s="17" t="inlineStr">
        <is>
          <t>Warehouse Mgr</t>
        </is>
      </c>
      <c r="F4" s="17" t="inlineStr">
        <is>
          <t>Phase 2</t>
        </is>
      </c>
      <c r="G4" s="17" t="inlineStr">
        <is>
          <t>Month 4</t>
        </is>
      </c>
      <c r="H4" s="21" t="inlineStr">
        <is>
          <t>Medium</t>
        </is>
      </c>
    </row>
    <row r="5">
      <c r="A5" s="11" t="inlineStr">
        <is>
          <t>REC-03</t>
        </is>
      </c>
      <c r="B5" s="13" t="inlineStr">
        <is>
          <t>Reconciliation</t>
        </is>
      </c>
      <c r="C5" s="12" t="inlineStr">
        <is>
          <t>Intercompany recon partial.</t>
        </is>
      </c>
      <c r="D5" s="12" t="inlineStr">
        <is>
          <t>Formalize IC matching + elimination sign-off each period.</t>
        </is>
      </c>
      <c r="E5" s="13" t="inlineStr">
        <is>
          <t>Group Controller</t>
        </is>
      </c>
      <c r="F5" s="13" t="inlineStr">
        <is>
          <t>Phase 2-3</t>
        </is>
      </c>
      <c r="G5" s="13" t="inlineStr">
        <is>
          <t>Month 4-6</t>
        </is>
      </c>
      <c r="H5" s="21" t="inlineStr">
        <is>
          <t>Medium</t>
        </is>
      </c>
    </row>
    <row r="6">
      <c r="A6" s="15" t="inlineStr">
        <is>
          <t>ITGC-AC-07</t>
        </is>
      </c>
      <c r="B6" s="17" t="inlineStr">
        <is>
          <t>ITGC · Access</t>
        </is>
      </c>
      <c r="C6" s="16" t="inlineStr">
        <is>
          <t>Login brute-force lockout + JWT revocation (now implemented; monitoring/alerting on lockouts to formalize).</t>
        </is>
      </c>
      <c r="D6" s="16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6" s="17" t="inlineStr">
        <is>
          <t>IT Security / Eng</t>
        </is>
      </c>
      <c r="F6" s="17" t="inlineStr">
        <is>
          <t>Phase 2</t>
        </is>
      </c>
      <c r="G6" s="17" t="inlineStr">
        <is>
          <t>Month 2-3</t>
        </is>
      </c>
      <c r="H6" s="22" t="inlineStr">
        <is>
          <t>Low</t>
        </is>
      </c>
    </row>
    <row r="7">
      <c r="A7" s="11" t="inlineStr">
        <is>
          <t>TAX-03</t>
        </is>
      </c>
      <c r="B7" s="13" t="inlineStr">
        <is>
          <t>Tax</t>
        </is>
      </c>
      <c r="C7" s="12" t="inlineStr">
        <is>
          <t>WHT reporting partial.</t>
        </is>
      </c>
      <c r="D7" s="12" t="inlineStr">
        <is>
          <t>Complete WHT calc coverage + monthly ภ.ง.ด. tie-out.</t>
        </is>
      </c>
      <c r="E7" s="13" t="inlineStr">
        <is>
          <t>Tax</t>
        </is>
      </c>
      <c r="F7" s="13" t="inlineStr">
        <is>
          <t>Phase 2-3</t>
        </is>
      </c>
      <c r="G7" s="13" t="inlineStr">
        <is>
          <t>Month 4-6</t>
        </is>
      </c>
      <c r="H7" s="21" t="inlineStr">
        <is>
          <t>Medium</t>
        </is>
      </c>
    </row>
    <row r="8">
      <c r="A8" s="15" t="inlineStr">
        <is>
          <t>PAY-02</t>
        </is>
      </c>
      <c r="B8" s="17" t="inlineStr">
        <is>
          <t>Payroll</t>
        </is>
      </c>
      <c r="C8" s="16" t="inlineStr">
        <is>
          <t>Statutory payroll items partial.</t>
        </is>
      </c>
      <c r="D8" s="16" t="inlineStr">
        <is>
          <t>Complete PF/OT/leave + ภ.ง.ด.1ก reconciliation to filings.</t>
        </is>
      </c>
      <c r="E8" s="17" t="inlineStr">
        <is>
          <t>HR / Payroll</t>
        </is>
      </c>
      <c r="F8" s="17" t="inlineStr">
        <is>
          <t>Phase 2-3</t>
        </is>
      </c>
      <c r="G8" s="17" t="inlineStr">
        <is>
          <t>Month 4-6</t>
        </is>
      </c>
      <c r="H8" s="21" t="inlineStr">
        <is>
          <t>Medium</t>
        </is>
      </c>
    </row>
    <row r="9">
      <c r="A9" s="11" t="inlineStr">
        <is>
          <t>ELC-01</t>
        </is>
      </c>
      <c r="B9" s="13" t="inlineStr">
        <is>
          <t>Entity-Level</t>
        </is>
      </c>
      <c r="C9" s="12" t="inlineStr">
        <is>
          <t>No ethics policy / acknowledgements.</t>
        </is>
      </c>
      <c r="D9" s="12" t="inlineStr">
        <is>
          <t>Issue code of conduct; annual acknowledgement register.</t>
        </is>
      </c>
      <c r="E9" s="13" t="inlineStr">
        <is>
          <t>CEO / HR</t>
        </is>
      </c>
      <c r="F9" s="13" t="inlineStr">
        <is>
          <t>Phase 1</t>
        </is>
      </c>
      <c r="G9" s="13" t="inlineStr">
        <is>
          <t>Month 1-2</t>
        </is>
      </c>
      <c r="H9" s="23" t="inlineStr">
        <is>
          <t>High</t>
        </is>
      </c>
    </row>
    <row r="10">
      <c r="A10" s="15" t="inlineStr">
        <is>
          <t>ELC-02</t>
        </is>
      </c>
      <c r="B10" s="17" t="inlineStr">
        <is>
          <t>Entity-Level</t>
        </is>
      </c>
      <c r="C10" s="16" t="inlineStr">
        <is>
          <t>No audit-committee ICFR oversight.</t>
        </is>
      </c>
      <c r="D10" s="16" t="inlineStr">
        <is>
          <t>Charter audit committee; quarterly ICFR review minutes.</t>
        </is>
      </c>
      <c r="E10" s="17" t="inlineStr">
        <is>
          <t>Board</t>
        </is>
      </c>
      <c r="F10" s="17" t="inlineStr">
        <is>
          <t>Phase 1</t>
        </is>
      </c>
      <c r="G10" s="17" t="inlineStr">
        <is>
          <t>Month 1-2</t>
        </is>
      </c>
      <c r="H10" s="23" t="inlineStr">
        <is>
          <t>High</t>
        </is>
      </c>
    </row>
    <row r="11">
      <c r="A11" s="11" t="inlineStr">
        <is>
          <t>ELC-03</t>
        </is>
      </c>
      <c r="B11" s="13" t="inlineStr">
        <is>
          <t>Entity-Level</t>
        </is>
      </c>
      <c r="C11" s="12" t="inlineStr">
        <is>
          <t>No documented delegation of authority.</t>
        </is>
      </c>
      <c r="D11" s="12" t="inlineStr">
        <is>
          <t>Author DoA/approval matrix; reconcile to RBAC roles.</t>
        </is>
      </c>
      <c r="E11" s="13" t="inlineStr">
        <is>
          <t>CFO</t>
        </is>
      </c>
      <c r="F11" s="13" t="inlineStr">
        <is>
          <t>Phase 1</t>
        </is>
      </c>
      <c r="G11" s="13" t="inlineStr">
        <is>
          <t>Month 2</t>
        </is>
      </c>
      <c r="H11" s="23" t="inlineStr">
        <is>
          <t>High</t>
        </is>
      </c>
    </row>
    <row r="12">
      <c r="A12" s="15" t="inlineStr">
        <is>
          <t>ELC-04</t>
        </is>
      </c>
      <c r="B12" s="17" t="inlineStr">
        <is>
          <t>Entity-Level</t>
        </is>
      </c>
      <c r="C12" s="16" t="inlineStr">
        <is>
          <t>No whistleblower channel.</t>
        </is>
      </c>
      <c r="D12" s="16" t="inlineStr">
        <is>
          <t>Stand up anonymous hotline + non-retaliation policy.</t>
        </is>
      </c>
      <c r="E12" s="17" t="inlineStr">
        <is>
          <t>Audit Cttee</t>
        </is>
      </c>
      <c r="F12" s="17" t="inlineStr">
        <is>
          <t>Phase 1</t>
        </is>
      </c>
      <c r="G12" s="17" t="inlineStr">
        <is>
          <t>Month 2</t>
        </is>
      </c>
      <c r="H12" s="21" t="inlineStr">
        <is>
          <t>Medium</t>
        </is>
      </c>
    </row>
    <row r="13">
      <c r="A13" s="11" t="inlineStr">
        <is>
          <t>ELC-05</t>
        </is>
      </c>
      <c r="B13" s="13" t="inlineStr">
        <is>
          <t>Entity-Level</t>
        </is>
      </c>
      <c r="C13" s="12" t="inlineStr">
        <is>
          <t>No fraud risk assessment.</t>
        </is>
      </c>
      <c r="D13" s="12" t="inlineStr">
        <is>
          <t>Perform annual fraud risk assessment; map to controls.</t>
        </is>
      </c>
      <c r="E13" s="13" t="inlineStr">
        <is>
          <t>CFO / IA</t>
        </is>
      </c>
      <c r="F13" s="13" t="inlineStr">
        <is>
          <t>Phase 2</t>
        </is>
      </c>
      <c r="G13" s="13" t="inlineStr">
        <is>
          <t>Month 3</t>
        </is>
      </c>
      <c r="H13" s="21" t="inlineStr">
        <is>
          <t>Medium</t>
        </is>
      </c>
    </row>
  </sheetData>
  <autoFilter ref="A2:H13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19" t="inlineStr">
        <is>
          <t>COSO 2013 — 17 Principles coverage</t>
        </is>
      </c>
    </row>
    <row r="2">
      <c r="A2" s="20" t="inlineStr">
        <is>
          <t>Component</t>
        </is>
      </c>
      <c r="B2" s="20" t="inlineStr">
        <is>
          <t>#</t>
        </is>
      </c>
      <c r="C2" s="20" t="inlineStr">
        <is>
          <t>Principle</t>
        </is>
      </c>
      <c r="D2" s="20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4" t="inlineStr">
        <is>
          <t>Control Activities</t>
        </is>
      </c>
      <c r="B13" s="11" t="n">
        <v>11</v>
      </c>
      <c r="C13" s="24" t="inlineStr">
        <is>
          <t>Selects &amp; develops GENERAL CONTROLS over technology (ITGC)</t>
        </is>
      </c>
      <c r="D13" s="24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5" t="inlineStr">
        <is>
          <t>ICFR Readiness — Control Summary</t>
        </is>
      </c>
    </row>
    <row r="4">
      <c r="B4" s="26" t="inlineStr">
        <is>
          <t>By Status</t>
        </is>
      </c>
    </row>
    <row r="5">
      <c r="B5" s="27" t="inlineStr">
        <is>
          <t>Implemented</t>
        </is>
      </c>
      <c r="C5" s="28">
        <f>COUNTIF(RCM!$Q$2:$Q$155,B5)</f>
        <v/>
      </c>
    </row>
    <row r="6">
      <c r="B6" s="29" t="inlineStr">
        <is>
          <t>Partial</t>
        </is>
      </c>
      <c r="C6" s="28">
        <f>COUNTIF(RCM!$Q$2:$Q$155,B6)</f>
        <v/>
      </c>
    </row>
    <row r="7">
      <c r="B7" s="30" t="inlineStr">
        <is>
          <t>Gap</t>
        </is>
      </c>
      <c r="C7" s="28">
        <f>COUNTIF(RCM!$Q$2:$Q$155,B7)</f>
        <v/>
      </c>
    </row>
    <row r="8">
      <c r="B8" s="31" t="inlineStr">
        <is>
          <t>Total</t>
        </is>
      </c>
      <c r="C8" s="31">
        <f>COUNTA(RCM!$A$2:$A$155)</f>
        <v/>
      </c>
    </row>
    <row r="10">
      <c r="B10" s="26" t="inlineStr">
        <is>
          <t>By Category</t>
        </is>
      </c>
    </row>
    <row r="11">
      <c r="B11" s="28" t="inlineStr">
        <is>
          <t>Entity</t>
        </is>
      </c>
      <c r="C11" s="28">
        <f>COUNTIF(RCM!$C$2:$C$155,B11)</f>
        <v/>
      </c>
    </row>
    <row r="12">
      <c r="B12" s="28" t="inlineStr">
        <is>
          <t>ITGC</t>
        </is>
      </c>
      <c r="C12" s="28">
        <f>COUNTIF(RCM!$C$2:$C$155,B12)</f>
        <v/>
      </c>
    </row>
    <row r="13">
      <c r="B13" s="28" t="inlineStr">
        <is>
          <t>Application</t>
        </is>
      </c>
      <c r="C13" s="28">
        <f>COUNTIF(RCM!$C$2:$C$155,B13)</f>
        <v/>
      </c>
    </row>
    <row r="15">
      <c r="B15" s="31" t="inlineStr">
        <is>
          <t>% Implemented</t>
        </is>
      </c>
      <c r="C15" s="32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2026-06-30T09:39:33Z</dcterms:created>
  <dcterms:modified xmlns:dcterms="http://purl.org/dc/terms/" xmlns:xsi="http://www.w3.org/2001/XMLSchema-instance" xsi:type="dcterms:W3CDTF">2026-06-30T09:39:33Z</dcterms:modified>
</cp:coreProperties>
</file>