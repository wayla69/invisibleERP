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REC-03</t>
        </is>
      </c>
      <c r="B75" s="16" t="inlineStr">
        <is>
          <t>Reconciliation</t>
        </is>
      </c>
      <c r="C75" s="17" t="inlineStr">
        <is>
          <t>Application</t>
        </is>
      </c>
      <c r="D75" s="16" t="inlineStr">
        <is>
          <t>Consolidation</t>
        </is>
      </c>
      <c r="E75" s="16" t="inlineStr">
        <is>
          <t>Intercompany balances not eliminated/agreed.</t>
        </is>
      </c>
      <c r="F75" s="16" t="inlineStr">
        <is>
          <t>Accuracy</t>
        </is>
      </c>
      <c r="G75" s="16" t="inlineStr">
        <is>
          <t>Intercompany reconciliation &amp; elimination on consolidation.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Period</t>
        </is>
      </c>
      <c r="K75" s="16" t="inlineStr">
        <is>
          <t>Group Controller</t>
        </is>
      </c>
      <c r="L75" s="17" t="inlineStr">
        <is>
          <t>P16</t>
        </is>
      </c>
      <c r="M75" s="16" t="inlineStr">
        <is>
          <t>intercompany; consolidation</t>
        </is>
      </c>
      <c r="N75" s="16" t="inlineStr">
        <is>
          <t>Inspect IC matching + elimination.</t>
        </is>
      </c>
      <c r="O75" s="16" t="inlineStr">
        <is>
          <t>Sample IC pairs agree &amp; eliminate.</t>
        </is>
      </c>
      <c r="P75" s="16" t="inlineStr">
        <is>
          <t>IC recon</t>
        </is>
      </c>
      <c r="Q75" s="18" t="inlineStr">
        <is>
          <t>Partial</t>
        </is>
      </c>
    </row>
    <row r="76">
      <c r="A76" s="11" t="inlineStr">
        <is>
          <t>REC-04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All control accounts</t>
        </is>
      </c>
      <c r="E76" s="12" t="inlineStr">
        <is>
          <t>A sub-ledger silently drifts from its GL control account at period-end and no single review catches it (incomplete/inaccurate balances reach the financial statements).</t>
        </is>
      </c>
      <c r="F76" s="12" t="inlineStr">
        <is>
          <t>Completeness/Accuracy</t>
        </is>
      </c>
      <c r="G7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Period / on demand</t>
        </is>
      </c>
      <c r="K76" s="12" t="inlineStr">
        <is>
          <t>Controller / CFO</t>
        </is>
      </c>
      <c r="L76" s="13" t="inlineStr">
        <is>
          <t>P16</t>
        </is>
      </c>
      <c r="M7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6" s="12" t="inlineStr">
        <is>
          <t>Inspect the pack: each control account's sub-ledger query + the GL tie + the exceptions roll-up.</t>
        </is>
      </c>
      <c r="O7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6" s="12" t="inlineStr">
        <is>
          <t>Reconciliation pack; exceptions list</t>
        </is>
      </c>
      <c r="Q76" s="19" t="inlineStr">
        <is>
          <t>Implemented</t>
        </is>
      </c>
    </row>
    <row r="77">
      <c r="A77" s="15" t="inlineStr">
        <is>
          <t>GOV-01</t>
        </is>
      </c>
      <c r="B77" s="16" t="inlineStr">
        <is>
          <t>Monitoring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77" s="16" t="inlineStr">
        <is>
          <t>Authorization/Completeness</t>
        </is>
      </c>
      <c r="G77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Continuous / pre-close</t>
        </is>
      </c>
      <c r="K77" s="16" t="inlineStr">
        <is>
          <t>Controller / CFO</t>
        </is>
      </c>
      <c r="L77" s="17" t="inlineStr">
        <is>
          <t>P16</t>
        </is>
      </c>
      <c r="M77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77" s="16" t="inlineStr">
        <is>
          <t>Inspect the aggregation across all six pending sources + the age/overdue roll-up.</t>
        </is>
      </c>
      <c r="O7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77" s="16" t="inlineStr">
        <is>
          <t>Pending-approvals worklist</t>
        </is>
      </c>
      <c r="Q77" s="19" t="inlineStr">
        <is>
          <t>Implemented</t>
        </is>
      </c>
    </row>
    <row r="78">
      <c r="A78" s="11" t="inlineStr">
        <is>
          <t>TAX-01</t>
        </is>
      </c>
      <c r="B78" s="12" t="inlineStr">
        <is>
          <t>Tax</t>
        </is>
      </c>
      <c r="C78" s="13" t="inlineStr">
        <is>
          <t>Application</t>
        </is>
      </c>
      <c r="D78" s="12" t="inlineStr">
        <is>
          <t>Tax (VAT)</t>
        </is>
      </c>
      <c r="E78" s="12" t="inlineStr">
        <is>
          <t>VAT computed incorrectly → filing/penalty risk.</t>
        </is>
      </c>
      <c r="F78" s="12" t="inlineStr">
        <is>
          <t>Accuracy</t>
        </is>
      </c>
      <c r="G78" s="12" t="inlineStr">
        <is>
          <t>VAT via pluggable provider (TH 7%); unit-tested; no hard-coded rate.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txn</t>
        </is>
      </c>
      <c r="K78" s="12" t="inlineStr">
        <is>
          <t>Tax / Controller</t>
        </is>
      </c>
      <c r="L78" s="13" t="inlineStr">
        <is>
          <t>P10</t>
        </is>
      </c>
      <c r="M78" s="12" t="inlineStr">
        <is>
          <t>tax/tax-providers.ts; tax.service.ts; test/unit.test.ts</t>
        </is>
      </c>
      <c r="N78" s="12" t="inlineStr">
        <is>
          <t>Inspect rate provider + tests.</t>
        </is>
      </c>
      <c r="O78" s="12" t="inlineStr">
        <is>
          <t>Re-perform VAT on sample; tie to return.</t>
        </is>
      </c>
      <c r="P78" s="12" t="inlineStr">
        <is>
          <t>VAT tests</t>
        </is>
      </c>
      <c r="Q78" s="19" t="inlineStr">
        <is>
          <t>Implemented</t>
        </is>
      </c>
    </row>
    <row r="79">
      <c r="A79" s="15" t="inlineStr">
        <is>
          <t>TAX-02</t>
        </is>
      </c>
      <c r="B79" s="16" t="inlineStr">
        <is>
          <t>Tax</t>
        </is>
      </c>
      <c r="C79" s="17" t="inlineStr">
        <is>
          <t>Application</t>
        </is>
      </c>
      <c r="D79" s="16" t="inlineStr">
        <is>
          <t>Tax; Revenue</t>
        </is>
      </c>
      <c r="E79" s="16" t="inlineStr">
        <is>
          <t>Non-compliant e-Tax invoice / not transmitted to ETDA.</t>
        </is>
      </c>
      <c r="F79" s="16" t="inlineStr">
        <is>
          <t>Accuracy/Compliance</t>
        </is>
      </c>
      <c r="G79" s="16" t="inlineStr">
        <is>
          <t>e-Tax invoice (ETDA UBL 2.1 XML) generation + email with CC to ETDA timestamp mailbox.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invoice</t>
        </is>
      </c>
      <c r="K79" s="16" t="inlineStr">
        <is>
          <t>Tax</t>
        </is>
      </c>
      <c r="L79" s="17" t="inlineStr">
        <is>
          <t>P10/P13</t>
        </is>
      </c>
      <c r="M79" s="16" t="inlineStr">
        <is>
          <t>tax-docs/etax-xml.ts; etax-email.service.ts (tested)</t>
        </is>
      </c>
      <c r="N79" s="16" t="inlineStr">
        <is>
          <t>Inspect XML schema + email composer.</t>
        </is>
      </c>
      <c r="O79" s="16" t="inlineStr">
        <is>
          <t>Sample invoices: valid XML, correct CC/escaping.</t>
        </is>
      </c>
      <c r="P79" s="16" t="inlineStr">
        <is>
          <t>e-Tax samples</t>
        </is>
      </c>
      <c r="Q79" s="19" t="inlineStr">
        <is>
          <t>Implemented</t>
        </is>
      </c>
    </row>
    <row r="80">
      <c r="A80" s="11" t="inlineStr">
        <is>
          <t>TAX-03</t>
        </is>
      </c>
      <c r="B80" s="12" t="inlineStr">
        <is>
          <t>Tax</t>
        </is>
      </c>
      <c r="C80" s="13" t="inlineStr">
        <is>
          <t>Application</t>
        </is>
      </c>
      <c r="D80" s="12" t="inlineStr">
        <is>
          <t>Tax (WHT)</t>
        </is>
      </c>
      <c r="E80" s="12" t="inlineStr">
        <is>
          <t>Withholding tax mis-computed / not reported.</t>
        </is>
      </c>
      <c r="F80" s="12" t="inlineStr">
        <is>
          <t>Accuracy</t>
        </is>
      </c>
      <c r="G80" s="12" t="inlineStr">
        <is>
          <t>WHT computation and ภ.ง.ด. reporting.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txn / monthly</t>
        </is>
      </c>
      <c r="K80" s="12" t="inlineStr">
        <is>
          <t>Tax</t>
        </is>
      </c>
      <c r="L80" s="13" t="inlineStr">
        <is>
          <t>P10</t>
        </is>
      </c>
      <c r="M80" s="12" t="inlineStr">
        <is>
          <t>tax-reports; payroll</t>
        </is>
      </c>
      <c r="N80" s="12" t="inlineStr">
        <is>
          <t>Inspect WHT logic + report.</t>
        </is>
      </c>
      <c r="O80" s="12" t="inlineStr">
        <is>
          <t>Re-perform WHT on sample; tie to filing.</t>
        </is>
      </c>
      <c r="P80" s="12" t="inlineStr">
        <is>
          <t>WHT report</t>
        </is>
      </c>
      <c r="Q80" s="18" t="inlineStr">
        <is>
          <t>Partial</t>
        </is>
      </c>
    </row>
    <row r="81">
      <c r="A81" s="15" t="inlineStr">
        <is>
          <t>PAY-01</t>
        </is>
      </c>
      <c r="B81" s="16" t="inlineStr">
        <is>
          <t>Payroll</t>
        </is>
      </c>
      <c r="C81" s="17" t="inlineStr">
        <is>
          <t>Application</t>
        </is>
      </c>
      <c r="D81" s="16" t="inlineStr">
        <is>
          <t>Payroll expense/liability</t>
        </is>
      </c>
      <c r="E81" s="16" t="inlineStr">
        <is>
          <t>Payroll, SSO and PIT mis-computed.</t>
        </is>
      </c>
      <c r="F81" s="16" t="inlineStr">
        <is>
          <t>Accuracy</t>
        </is>
      </c>
      <c r="G81" s="16" t="inlineStr">
        <is>
          <t>Payroll engine — SSO 5% (cap 750), progressive PIT, payslip net; unit-tested.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run</t>
        </is>
      </c>
      <c r="K81" s="16" t="inlineStr">
        <is>
          <t>HR / Payroll</t>
        </is>
      </c>
      <c r="L81" s="17" t="inlineStr">
        <is>
          <t>P10</t>
        </is>
      </c>
      <c r="M81" s="16" t="inlineStr">
        <is>
          <t>payroll/payroll-calc.ts; test/unit.test.ts</t>
        </is>
      </c>
      <c r="N81" s="16" t="inlineStr">
        <is>
          <t>Inspect calc + tests.</t>
        </is>
      </c>
      <c r="O81" s="16" t="inlineStr">
        <is>
          <t>Re-perform sample payslips.</t>
        </is>
      </c>
      <c r="P81" s="16" t="inlineStr">
        <is>
          <t>Payslip tests</t>
        </is>
      </c>
      <c r="Q81" s="19" t="inlineStr">
        <is>
          <t>Implemented</t>
        </is>
      </c>
    </row>
    <row r="82">
      <c r="A82" s="11" t="inlineStr">
        <is>
          <t>PAY-02</t>
        </is>
      </c>
      <c r="B82" s="12" t="inlineStr">
        <is>
          <t>Payroll</t>
        </is>
      </c>
      <c r="C82" s="13" t="inlineStr">
        <is>
          <t>Application</t>
        </is>
      </c>
      <c r="D82" s="12" t="inlineStr">
        <is>
          <t>Payroll liability</t>
        </is>
      </c>
      <c r="E82" s="12" t="inlineStr">
        <is>
          <t>Statutory items (PF/OT/leave/ภ.ง.ด.1ก) wrong.</t>
        </is>
      </c>
      <c r="F82" s="12" t="inlineStr">
        <is>
          <t>Accuracy/Compliance</t>
        </is>
      </c>
      <c r="G82" s="12" t="inlineStr">
        <is>
          <t>Provident fund, overtime, leave accrual and ภ.ง.ด.1ก reporting.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run / monthly</t>
        </is>
      </c>
      <c r="K82" s="12" t="inlineStr">
        <is>
          <t>HR / Payroll</t>
        </is>
      </c>
      <c r="L82" s="13" t="inlineStr">
        <is>
          <t>P10</t>
        </is>
      </c>
      <c r="M82" s="12" t="inlineStr">
        <is>
          <t>hcm; payroll (Phase 19)</t>
        </is>
      </c>
      <c r="N82" s="12" t="inlineStr">
        <is>
          <t>Inspect statutory logic.</t>
        </is>
      </c>
      <c r="O82" s="12" t="inlineStr">
        <is>
          <t>Sample run tied to statutory filings.</t>
        </is>
      </c>
      <c r="P82" s="12" t="inlineStr">
        <is>
          <t>Filings</t>
        </is>
      </c>
      <c r="Q82" s="18" t="inlineStr">
        <is>
          <t>Partial</t>
        </is>
      </c>
    </row>
    <row r="83">
      <c r="A83" s="15" t="inlineStr">
        <is>
          <t>PAY-03</t>
        </is>
      </c>
      <c r="B83" s="16" t="inlineStr">
        <is>
          <t>Payroll</t>
        </is>
      </c>
      <c r="C83" s="17" t="inlineStr">
        <is>
          <t>Application</t>
        </is>
      </c>
      <c r="D83" s="16" t="inlineStr">
        <is>
          <t>Payroll expense/liability; Cash</t>
        </is>
      </c>
      <c r="E83" s="16" t="inlineStr">
        <is>
          <t>Payroll run posted to the GL without independent review — the preparer both computes and posts their own payroll (ghost employees, inflated rate/hours).</t>
        </is>
      </c>
      <c r="F83" s="16" t="inlineStr">
        <is>
          <t>Authorization</t>
        </is>
      </c>
      <c r="G8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run</t>
        </is>
      </c>
      <c r="K83" s="16" t="inlineStr">
        <is>
          <t>HR / Payroll; Controller</t>
        </is>
      </c>
      <c r="L83" s="17" t="inlineStr">
        <is>
          <t>P10</t>
        </is>
      </c>
      <c r="M83" s="16" t="inlineStr">
        <is>
          <t>payroll/payroll.service.ts approvePayroll/rejectPayroll; migration 0133</t>
        </is>
      </c>
      <c r="N83" s="16" t="inlineStr">
        <is>
          <t>Inspect Draft→approve flow + the approver≠preparer check.</t>
        </is>
      </c>
      <c r="O83" s="16" t="inlineStr">
        <is>
          <t>Re-perform: run as A, attempt self-approve (SOD_VIOLATION), approve as B; confirm the JE hits balances only after approval.</t>
        </is>
      </c>
      <c r="P83" s="16" t="inlineStr">
        <is>
          <t>Approval log + SoD test</t>
        </is>
      </c>
      <c r="Q83" s="19" t="inlineStr">
        <is>
          <t>Implemented</t>
        </is>
      </c>
    </row>
    <row r="84">
      <c r="A84" s="11" t="inlineStr">
        <is>
          <t>FA-09</t>
        </is>
      </c>
      <c r="B84" s="12" t="inlineStr">
        <is>
          <t>Fixed Assets</t>
        </is>
      </c>
      <c r="C84" s="13" t="inlineStr">
        <is>
          <t>Application</t>
        </is>
      </c>
      <c r="D84" s="12" t="inlineStr">
        <is>
          <t>Property, Plant &amp; Equipment; Cash</t>
        </is>
      </c>
      <c r="E8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4" s="12" t="inlineStr">
        <is>
          <t>Authorization</t>
        </is>
      </c>
      <c r="G8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disposal</t>
        </is>
      </c>
      <c r="K84" s="12" t="inlineStr">
        <is>
          <t>FaAccountant / Controller</t>
        </is>
      </c>
      <c r="L84" s="13" t="inlineStr">
        <is>
          <t>P10</t>
        </is>
      </c>
      <c r="M8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4" s="12" t="inlineStr">
        <is>
          <t>Inspect Draft→approve flow + the approver≠requester check + deferred status/recycle.</t>
        </is>
      </c>
      <c r="O8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4" s="12" t="inlineStr">
        <is>
          <t>Disposal approval log + SoD test</t>
        </is>
      </c>
      <c r="Q84" s="19" t="inlineStr">
        <is>
          <t>Implemented</t>
        </is>
      </c>
    </row>
    <row r="85">
      <c r="A85" s="15" t="inlineStr">
        <is>
          <t>FA-10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Accounts Payable</t>
        </is>
      </c>
      <c r="E8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85" s="16" t="inlineStr">
        <is>
          <t>Authorization; Accuracy</t>
        </is>
      </c>
      <c r="G8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capital receipt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85" s="16" t="inlineStr">
        <is>
          <t>Inspect the eligible→request→approve flow + approver≠requester check + the inventory-vs-asset routing of capital lines.</t>
        </is>
      </c>
      <c r="O8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85" s="16" t="inlineStr">
        <is>
          <t>Capitalization approval log + SoD test</t>
        </is>
      </c>
      <c r="Q85" s="19" t="inlineStr">
        <is>
          <t>Implemented</t>
        </is>
      </c>
    </row>
    <row r="86">
      <c r="A86" s="11" t="inlineStr">
        <is>
          <t>CON-01</t>
        </is>
      </c>
      <c r="B86" s="12" t="inlineStr">
        <is>
          <t>Consolidation &amp; FX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Group consolidation mis-stated (ownership/currency).</t>
        </is>
      </c>
      <c r="F86" s="12" t="inlineStr">
        <is>
          <t>Accuracy</t>
        </is>
      </c>
      <c r="G86" s="12" t="inlineStr">
        <is>
          <t>Consolidation run (ownership %, entity currency) gated by 'approvals'.</t>
        </is>
      </c>
      <c r="H86" s="13" t="inlineStr">
        <is>
          <t>Auto+Manual</t>
        </is>
      </c>
      <c r="I86" s="13" t="inlineStr">
        <is>
          <t>Period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P10</t>
        </is>
      </c>
      <c r="M86" s="12" t="inlineStr">
        <is>
          <t>consolidation.service.ts (runConsolidation @Permissions approvals)</t>
        </is>
      </c>
      <c r="N86" s="12" t="inlineStr">
        <is>
          <t>Inspect consolidation logic + gate.</t>
        </is>
      </c>
      <c r="O86" s="12" t="inlineStr">
        <is>
          <t>Sample period: consolidated TB ties to entities.</t>
        </is>
      </c>
      <c r="P86" s="12" t="inlineStr">
        <is>
          <t>Consol TB</t>
        </is>
      </c>
      <c r="Q86" s="19" t="inlineStr">
        <is>
          <t>Implemented</t>
        </is>
      </c>
    </row>
    <row r="87">
      <c r="A87" s="15" t="inlineStr">
        <is>
          <t>CON-02</t>
        </is>
      </c>
      <c r="B87" s="16" t="inlineStr">
        <is>
          <t>Consolidation &amp; FX</t>
        </is>
      </c>
      <c r="C87" s="17" t="inlineStr">
        <is>
          <t>Application</t>
        </is>
      </c>
      <c r="D87" s="16" t="inlineStr">
        <is>
          <t>FX gain/loss</t>
        </is>
      </c>
      <c r="E87" s="16" t="inlineStr">
        <is>
          <t>FX exposures not revalued at period-end.</t>
        </is>
      </c>
      <c r="F87" s="16" t="inlineStr">
        <is>
          <t>Valuation</t>
        </is>
      </c>
      <c r="G87" s="16" t="inlineStr">
        <is>
          <t>FX revaluation at period-end rates; unrealized FX posted (acct 5400).</t>
        </is>
      </c>
      <c r="H87" s="17" t="inlineStr">
        <is>
          <t>Auto+Manual</t>
        </is>
      </c>
      <c r="I87" s="17" t="inlineStr">
        <is>
          <t>Period-end</t>
        </is>
      </c>
      <c r="J87" s="17" t="inlineStr">
        <is>
          <t>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fx.service.ts (revalue / unrealized report)</t>
        </is>
      </c>
      <c r="N87" s="16" t="inlineStr">
        <is>
          <t>Inspect reval logic + rates.</t>
        </is>
      </c>
      <c r="O87" s="16" t="inlineStr">
        <is>
          <t>Recompute reval on sample balances.</t>
        </is>
      </c>
      <c r="P87" s="16" t="inlineStr">
        <is>
          <t>FX reval JE</t>
        </is>
      </c>
      <c r="Q87" s="19" t="inlineStr">
        <is>
          <t>Implemented</t>
        </is>
      </c>
    </row>
  </sheetData>
  <autoFilter ref="A1:Q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COUNTIF(RCM!$Q$2:$Q$87,B5)</f>
        <v/>
      </c>
    </row>
    <row r="6">
      <c r="B6" s="30" t="inlineStr">
        <is>
          <t>Partial</t>
        </is>
      </c>
      <c r="C6" s="29">
        <f>COUNTIF(RCM!$Q$2:$Q$87,B6)</f>
        <v/>
      </c>
    </row>
    <row r="7">
      <c r="B7" s="31" t="inlineStr">
        <is>
          <t>Gap</t>
        </is>
      </c>
      <c r="C7" s="29">
        <f>COUNTIF(RCM!$Q$2:$Q$87,B7)</f>
        <v/>
      </c>
    </row>
    <row r="8">
      <c r="B8" s="32" t="inlineStr">
        <is>
          <t>Total</t>
        </is>
      </c>
      <c r="C8" s="32">
        <f>COUNTA(RCM!$A$2:$A$87)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COUNTIF(RCM!$C$2:$C$87,B11)</f>
        <v/>
      </c>
    </row>
    <row r="12">
      <c r="B12" s="29" t="inlineStr">
        <is>
          <t>ITGC</t>
        </is>
      </c>
      <c r="C12" s="29">
        <f>COUNTIF(RCM!$C$2:$C$87,B12)</f>
        <v/>
      </c>
    </row>
    <row r="13">
      <c r="B13" s="29" t="inlineStr">
        <is>
          <t>Application</t>
        </is>
      </c>
      <c r="C13" s="29">
        <f>COUNTIF(RCM!$C$2:$C$87,B13)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2026-06-26T02:39:35Z</dcterms:created>
  <dcterms:modified xmlns:dcterms="http://purl.org/dc/terms/" xmlns:xsi="http://www.w3.org/2001/XMLSchema-instance" xsi:type="dcterms:W3CDTF">2026-06-26T02:39:35Z</dcterms:modified>
</cp:coreProperties>
</file>