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— register gated 'users'); schema/governance.ts; drizzle/0202_governance.sql; cutover/governance.ts (ToE); policies/01-code-of-conduct.md; policy issuance = HR process</t>
        </is>
      </c>
      <c r="N2" s="12" t="inlineStr">
        <is>
          <t>Inspect signed policy + the acknowledgement register.</t>
        </is>
      </c>
      <c r="O2" s="12" t="inlineStr">
        <is>
          <t>Re-perform: a staff acknowledgement is recorded (idempotent per version) and appears in the permission-gated, tenant-isolated register (governance harness); sample staff have a current acknowledgement.</t>
        </is>
      </c>
      <c r="P2" s="12" t="inlineStr">
        <is>
          <t>Acknowledgement register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— gated 'users'); drizzle/0203_governance_round2.sql; cutover/governance.ts (ToE)</t>
        </is>
      </c>
      <c r="N3" s="16" t="inlineStr">
        <is>
          <t>Inspect the charter + quarterly minutes + the oversight log.</t>
        </is>
      </c>
      <c r="O3" s="16" t="inlineStr">
        <is>
          <t>Inspect minutes evidencing ICFR oversight each quarter; re-perform: a meeting + ICFR review/sign-off is recorded in the permission-gated oversight log (governance harness).</t>
        </is>
      </c>
      <c r="P3" s="16" t="inlineStr">
        <is>
          <t>AC charter + oversight log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— gated 'users'); schema/governance.ts; drizzle/0202_governance.sql; cutover/governance.ts (ToE); policies/02-whistleblower-policy.md; hotline operation = audit-committee process</t>
        </is>
      </c>
      <c r="N5" s="16" t="inlineStr">
        <is>
          <t>Inspect hotline setup + the case-log + resolution evidence.</t>
        </is>
      </c>
      <c r="O5" s="16" t="inlineStr">
        <is>
          <t>Re-perform: an (anonymous) report is captured with a case_ref (reporter hidden when anonymity), the audit committee reviews the tenant-isolated case log and advances a case (received→investigating) with a handler recorded; views are permission-gated (governance harness).</t>
        </is>
      </c>
      <c r="P5" s="16" t="inlineStr">
        <is>
          <t>Hotline case log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or received without authorization.</t>
        </is>
      </c>
      <c r="F70" s="12" t="inlineStr">
        <is>
          <t>Authorization</t>
        </is>
      </c>
      <c r="G70" s="12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workflow/workflow.service.ts (amount-threshold routing + maker-checker + SoD); procurement.service.ts createGr (PO-approval gate); cutover/compliance.ts (ToE)</t>
        </is>
      </c>
      <c r="N70" s="12" t="inlineStr">
        <is>
          <t>Inspect approval routing + thresholds + the GR-on-approval gate.</t>
        </is>
      </c>
      <c r="O70" s="12" t="inlineStr">
        <is>
          <t>Re-perform: a PR/PO is approved by an authorized approver ≠ requester; a GR against an unapproved PO is blocked (403 PO_NOT_APPROVED).</t>
        </is>
      </c>
      <c r="P70" s="12" t="inlineStr">
        <is>
          <t>Approval trail + GR gate ToE</t>
        </is>
      </c>
      <c r="Q70" s="18" t="inlineStr">
        <is>
          <t>Implemented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counts adjusted without independent review.</t>
        </is>
      </c>
      <c r="F78" s="12" t="inlineStr">
        <is>
          <t>Existence</t>
        </is>
      </c>
      <c r="G78" s="12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stock-ops/stock-ops.service.ts postStocktake (counter ≠ poster gate, SOD_SELF_APPROVAL); cutover/stock-ops.ts (ToE)</t>
        </is>
      </c>
      <c r="N78" s="12" t="inlineStr">
        <is>
          <t>Inspect the count → variance → independent-review/post flow.</t>
        </is>
      </c>
      <c r="O78" s="12" t="inlineStr">
        <is>
          <t>Re-perform: the counter posting their own stocktake is blocked (403 SOD_SELF_APPROVAL); an independent reviewer posts the variance.</t>
        </is>
      </c>
      <c r="P78" s="12" t="inlineStr">
        <is>
          <t>Variance review maker-checker ToE</t>
        </is>
      </c>
      <c r="Q78" s="18" t="inlineStr">
        <is>
          <t>Implemented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4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eliminated without an independent reconciliation sign-off.</t>
        </is>
      </c>
      <c r="F133" s="16" t="inlineStr">
        <is>
          <t>Accuracy</t>
        </is>
      </c>
      <c r="G133" s="16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33" s="16" t="inlineStr">
        <is>
          <t>Inspect the per-period IC reconciliation sign-off + the consolidation gate.</t>
        </is>
      </c>
      <c r="O133" s="16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33" s="16" t="inlineStr">
        <is>
          <t>IC reconciliation sign-off + consolidation gate ToE</t>
        </is>
      </c>
      <c r="Q133" s="18" t="inlineStr">
        <is>
          <t>Implemented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mis-computed, not withheld at payment, or not tied to the GL.</t>
        </is>
      </c>
      <c r="F139" s="16" t="inlineStr">
        <is>
          <t>Accuracy</t>
        </is>
      </c>
      <c r="G139" s="16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payment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39" s="16" t="inlineStr">
        <is>
          <t>Inspect the WHT-at-payment posting + the ภ.ง.ด.→GL tie-out.</t>
        </is>
      </c>
      <c r="O139" s="16" t="inlineStr">
        <is>
          <t>Re-perform: approve a vendor payment with a WHT rate → vendor paid net, GL 2361 credited the WHT; run the tie-out → GL 2361 ties to the AP-withheld total (tied_gl_ap).</t>
        </is>
      </c>
      <c r="P139" s="16" t="inlineStr">
        <is>
          <t>WHT GL postings + ภ.ง.ด.→GL tie-out ToE</t>
        </is>
      </c>
      <c r="Q139" s="18" t="inlineStr">
        <is>
          <t>Implemented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COUNTIF(RCM!$Q$2:$Q$155,B5)</f>
        <v/>
      </c>
    </row>
    <row r="6">
      <c r="B6" s="27" t="inlineStr">
        <is>
          <t>Partial</t>
        </is>
      </c>
      <c r="C6" s="26">
        <f>COUNTIF(RCM!$Q$2:$Q$155,B6)</f>
        <v/>
      </c>
    </row>
    <row r="7">
      <c r="B7" s="28" t="inlineStr">
        <is>
          <t>Gap</t>
        </is>
      </c>
      <c r="C7" s="26">
        <f>COUNTIF(RCM!$Q$2:$Q$155,B7)</f>
        <v/>
      </c>
    </row>
    <row r="8">
      <c r="B8" s="29" t="inlineStr">
        <is>
          <t>Total</t>
        </is>
      </c>
      <c r="C8" s="29">
        <f>COUNTA(RCM!$A$2:$A$155)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COUNTIF(RCM!$C$2:$C$155,B11)</f>
        <v/>
      </c>
    </row>
    <row r="12">
      <c r="B12" s="26" t="inlineStr">
        <is>
          <t>ITGC</t>
        </is>
      </c>
      <c r="C12" s="26">
        <f>COUNTIF(RCM!$C$2:$C$155,B12)</f>
        <v/>
      </c>
    </row>
    <row r="13">
      <c r="B13" s="26" t="inlineStr">
        <is>
          <t>Application</t>
        </is>
      </c>
      <c r="C13" s="26">
        <f>COUNTIF(RCM!$C$2:$C$155,B13)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2026-06-30T10:28:17Z</dcterms:created>
  <dcterms:modified xmlns:dcterms="http://purl.org/dc/terms/" xmlns:xsi="http://www.w3.org/2001/XMLSchema-instance" xsi:type="dcterms:W3CDTF">2026-06-30T10:28:17Z</dcterms:modified>
</cp:coreProperties>
</file>