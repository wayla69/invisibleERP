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price; or the same person who ran the match force-overrides a variance to push their own invoice through.</t>
        </is>
      </c>
      <c r="F46" s="12" t="inlineStr">
        <is>
          <t>Occurrence/Accuracy/Authorization</t>
        </is>
      </c>
      <c r="G4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 (match gate; override SoD overrider≠matcher); match.controller.ts (override gated creditors/approvals/gl_close); cutover/match.ts (ToE)</t>
        </is>
      </c>
      <c r="N46" s="12" t="inlineStr">
        <is>
          <t>Inspect match + tolerance + payment gate + the override SoD check.</t>
        </is>
      </c>
      <c r="O4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6" s="12" t="inlineStr">
        <is>
          <t>Match results; override SoD test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INV-08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0" s="12" t="inlineStr">
        <is>
          <t>Completeness; Accuracy</t>
        </is>
      </c>
      <c r="G6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putaway</t>
        </is>
      </c>
      <c r="K60" s="12" t="inlineStr">
        <is>
          <t>Warehouse</t>
        </is>
      </c>
      <c r="L60" s="13" t="inlineStr">
        <is>
          <t>P10</t>
        </is>
      </c>
      <c r="M6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0" s="12" t="inlineStr">
        <is>
          <t>Inspect the putaway capacity guard + the layout utilisation/locate read model.</t>
        </is>
      </c>
      <c r="O6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0" s="12" t="inlineStr">
        <is>
          <t>Bin capacity test + layout/locate read</t>
        </is>
      </c>
      <c r="Q60" s="19" t="inlineStr">
        <is>
          <t>Implemented</t>
        </is>
      </c>
    </row>
    <row r="61">
      <c r="A61" s="15" t="inlineStr">
        <is>
          <t>MFG-01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Unauthorized BOM/recipe change mis-states standard cost and every downstream WIP/COGS posting; or the role that maintains the recipe also transacts on it.</t>
        </is>
      </c>
      <c r="F61" s="16" t="inlineStr">
        <is>
          <t>Authorization</t>
        </is>
      </c>
      <c r="G6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1" s="17" t="inlineStr">
        <is>
          <t>Prev</t>
        </is>
      </c>
      <c r="I61" s="17" t="inlineStr">
        <is>
          <t>Manual+Auto</t>
        </is>
      </c>
      <c r="J61" s="17" t="inlineStr">
        <is>
          <t>Per BOM change</t>
        </is>
      </c>
      <c r="K61" s="16" t="inlineStr">
        <is>
          <t>HQ MasterSteward / CostAccountant</t>
        </is>
      </c>
      <c r="L61" s="17" t="inlineStr">
        <is>
          <t>P13</t>
        </is>
      </c>
      <c r="M61" s="16" t="inlineStr">
        <is>
          <t>bom master + submissions (/api/bom/master, /api/bom/submissions, /api/portal/bom); manufacturing.service.ts BOM scaling; cutover/cpq.ts + manufacturing.ts (ToE)</t>
        </is>
      </c>
      <c r="N61" s="16" t="inlineStr">
        <is>
          <t>Inspect BOM maintenance access + the submission→approve maker-checker + the costing roll-up.</t>
        </is>
      </c>
      <c r="O61" s="16" t="inlineStr">
        <is>
          <t>Sample BOM change is HQ-approved before use; standard cost rolls up correctly.</t>
        </is>
      </c>
      <c r="P61" s="16" t="inlineStr">
        <is>
          <t>BOM approval log; costing roll-up</t>
        </is>
      </c>
      <c r="Q61" s="19" t="inlineStr">
        <is>
          <t>Implemented</t>
        </is>
      </c>
    </row>
    <row r="62">
      <c r="A62" s="11" t="inlineStr">
        <is>
          <t>MFG-02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WIP; Finished Goods; COGS</t>
        </is>
      </c>
      <c r="E6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2" s="12" t="inlineStr">
        <is>
          <t>Valuation/Completeness/Accuracy</t>
        </is>
      </c>
      <c r="G6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work order</t>
        </is>
      </c>
      <c r="K62" s="12" t="inlineStr">
        <is>
          <t>Warehouse / CostAccountant</t>
        </is>
      </c>
      <c r="L62" s="13" t="inlineStr">
        <is>
          <t>P13</t>
        </is>
      </c>
      <c r="M6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2" s="12" t="inlineStr">
        <is>
          <t>Inspect the issue/complete JEs + the standard-unit-cost FG valuation + the yield-variance plug + the status guard.</t>
        </is>
      </c>
      <c r="O6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2" s="12" t="inlineStr">
        <is>
          <t>WO costing register (yield_variance per WO); production JEs</t>
        </is>
      </c>
      <c r="Q62" s="19" t="inlineStr">
        <is>
          <t>Implemented</t>
        </is>
      </c>
    </row>
    <row r="63">
      <c r="A63" s="15" t="inlineStr">
        <is>
          <t>MFG-03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Standard-cost inventory received without isolating the price variance — actual purchase cost buried in inventory, COGS and PPV mis-stated.</t>
        </is>
      </c>
      <c r="F63" s="16" t="inlineStr">
        <is>
          <t>Valuation/Accuracy</t>
        </is>
      </c>
      <c r="G6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receipt</t>
        </is>
      </c>
      <c r="K63" s="16" t="inlineStr">
        <is>
          <t>CostAccountant</t>
        </is>
      </c>
      <c r="L63" s="17" t="inlineStr">
        <is>
          <t>P13</t>
        </is>
      </c>
      <c r="M63" s="16" t="inlineStr">
        <is>
          <t>costing.service.ts (config/valuation, GRV capitalisation + 5500 PPV); costing.controller.ts (masterdata); cutover/costing.ts (ToE)</t>
        </is>
      </c>
      <c r="N63" s="16" t="inlineStr">
        <is>
          <t>Inspect the per-method capitalisation routing + the PPV plug.</t>
        </is>
      </c>
      <c r="O63" s="16" t="inlineStr">
        <is>
          <t>Re-perform a STD receipt at actual ≠ standard → PPV isolated to 5500, JE balanced; valuation ties to GL 1200/1210/1250.</t>
        </is>
      </c>
      <c r="P63" s="16" t="inlineStr">
        <is>
          <t>PPV postings; costing valuation</t>
        </is>
      </c>
      <c r="Q63" s="19" t="inlineStr">
        <is>
          <t>Implemented</t>
        </is>
      </c>
    </row>
    <row r="64">
      <c r="A64" s="11" t="inlineStr">
        <is>
          <t>PROJ-01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COGS</t>
        </is>
      </c>
      <c r="E6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4" s="12" t="inlineStr">
        <is>
          <t>Valuation/Accuracy/Completeness</t>
        </is>
      </c>
      <c r="G6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cost entry</t>
        </is>
      </c>
      <c r="K64" s="12" t="inlineStr">
        <is>
          <t>ProjectAccountant</t>
        </is>
      </c>
      <c r="L64" s="13" t="inlineStr">
        <is>
          <t>P13</t>
        </is>
      </c>
      <c r="M6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4" s="12" t="inlineStr">
        <is>
          <t>Inspect the billable/non-billable GL routing + the WIP vs immediate-expense decision + the margin roll-up.</t>
        </is>
      </c>
      <c r="O64" s="12" t="inlineStr">
        <is>
          <t>Re-perform: a billable cost capitalises to 1260; a non-billable cost expenses to 5800 (NOT WIP), cost_to_date unchanged, and the project margin absorbs it (re-performed by the harness).</t>
        </is>
      </c>
      <c r="P64" s="12" t="inlineStr">
        <is>
          <t>Project cost JEs; cost register (non_billable_cost)</t>
        </is>
      </c>
      <c r="Q64" s="19" t="inlineStr">
        <is>
          <t>Implemented</t>
        </is>
      </c>
    </row>
    <row r="65">
      <c r="A65" s="15" t="inlineStr">
        <is>
          <t>PROJ-02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Revenue; COGS</t>
        </is>
      </c>
      <c r="E65" s="16" t="inlineStr">
        <is>
          <t>Revenue billed without matching cost — WIP not relieved, cost of services mis-stated, margin overstated.</t>
        </is>
      </c>
      <c r="F65" s="16" t="inlineStr">
        <is>
          <t>Accuracy/Cut-off</t>
        </is>
      </c>
      <c r="G6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billing</t>
        </is>
      </c>
      <c r="K65" s="16" t="inlineStr">
        <is>
          <t>ProjectController / ArSpecialist</t>
        </is>
      </c>
      <c r="L65" s="17" t="inlineStr">
        <is>
          <t>P13</t>
        </is>
      </c>
      <c r="M65" s="16" t="inlineStr">
        <is>
          <t>projects.service.ts bill (revenue + WIP relief, idempotent); projects.controller.ts (R07 vs cost initiation); cutover/projects.ts (ToE)</t>
        </is>
      </c>
      <c r="N65" s="16" t="inlineStr">
        <is>
          <t>Inspect the bill JE + the WIP-relief matching + idempotency.</t>
        </is>
      </c>
      <c r="O65" s="16" t="inlineStr">
        <is>
          <t>Re-perform a billing → revenue recognised, WIP relieved to 5800 up to unrecognised cost, 1260 reduced; margin = billed − recognised cost (re-performed by the harness).</t>
        </is>
      </c>
      <c r="P65" s="16" t="inlineStr">
        <is>
          <t>Billing JEs; margin/WIP measurement</t>
        </is>
      </c>
      <c r="Q65" s="19" t="inlineStr">
        <is>
          <t>Implemented</t>
        </is>
      </c>
    </row>
    <row r="66">
      <c r="A66" s="11" t="inlineStr">
        <is>
          <t>PROJ-03</t>
        </is>
      </c>
      <c r="B66" s="12" t="inlineStr">
        <is>
          <t>Project Accounting</t>
        </is>
      </c>
      <c r="C66" s="13" t="inlineStr">
        <is>
          <t>Detective</t>
        </is>
      </c>
      <c r="D66" s="12" t="inlineStr">
        <is>
          <t>Project WIP</t>
        </is>
      </c>
      <c r="E66" s="12" t="inlineStr">
        <is>
          <t>Unbilled WIP (1260) and the 2390 clearing balance not reviewed at close — stale or unrecoverable WIP carried into the financial statements.</t>
        </is>
      </c>
      <c r="F66" s="12" t="inlineStr">
        <is>
          <t>Valuation</t>
        </is>
      </c>
      <c r="G6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6" s="13" t="inlineStr">
        <is>
          <t>Det</t>
        </is>
      </c>
      <c r="I66" s="13" t="inlineStr">
        <is>
          <t>Hybrid</t>
        </is>
      </c>
      <c r="J66" s="13" t="inlineStr">
        <is>
          <t>Period</t>
        </is>
      </c>
      <c r="K66" s="12" t="inlineStr">
        <is>
          <t>ProjectAccountant / Controller</t>
        </is>
      </c>
      <c r="L66" s="13" t="inlineStr">
        <is>
          <t>P16</t>
        </is>
      </c>
      <c r="M66" s="12" t="inlineStr">
        <is>
          <t>projects.service.ts fmt (wip/margin); the project register + entries; close review</t>
        </is>
      </c>
      <c r="N66" s="12" t="inlineStr">
        <is>
          <t>Inspect 1260 aging + 2390 clearing + margin review evidence.</t>
        </is>
      </c>
      <c r="O66" s="12" t="inlineStr">
        <is>
          <t>Sample projects: 1260 WIP agrees to cost_to_date − recognised; 2390 clears; stale WIP investigated.</t>
        </is>
      </c>
      <c r="P66" s="12" t="inlineStr">
        <is>
          <t>WIP aging; 2390 clearing tie-out</t>
        </is>
      </c>
      <c r="Q66" s="18" t="inlineStr">
        <is>
          <t>Partial</t>
        </is>
      </c>
    </row>
    <row r="67">
      <c r="A67" s="15" t="inlineStr">
        <is>
          <t>GL-01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Unbalanced / one-sided journal entries.</t>
        </is>
      </c>
      <c r="F67" s="16" t="inlineStr">
        <is>
          <t>Accuracy</t>
        </is>
      </c>
      <c r="G67" s="16" t="inlineStr">
        <is>
          <t>Double-entry balanced-by-construction — Σdebit=Σcredit enforced; each line single-sided &amp; non-negative.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— UNBALANCED / INVALID_LINE)</t>
        </is>
      </c>
      <c r="N67" s="16" t="inlineStr">
        <is>
          <t>Inspect balance + line invariants.</t>
        </is>
      </c>
      <c r="O67" s="16" t="inlineStr">
        <is>
          <t>Attempt unbalanced JE → rejected.</t>
        </is>
      </c>
      <c r="P67" s="16" t="inlineStr">
        <is>
          <t>Invariant test</t>
        </is>
      </c>
      <c r="Q67" s="19" t="inlineStr">
        <is>
          <t>Implemented</t>
        </is>
      </c>
    </row>
    <row r="68">
      <c r="A68" s="11" t="inlineStr">
        <is>
          <t>GL-02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Postings to a closed period distort reported results.</t>
        </is>
      </c>
      <c r="F68" s="12" t="inlineStr">
        <is>
          <t>Cutoff</t>
        </is>
      </c>
      <c r="G68" s="12" t="inlineStr">
        <is>
          <t>Period-close lockout — postings to a CLOSED fiscal period are rejected (per-tenant calendar).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PERIOD_CLOSED); fiscal_periods</t>
        </is>
      </c>
      <c r="N68" s="12" t="inlineStr">
        <is>
          <t>Inspect close check.</t>
        </is>
      </c>
      <c r="O68" s="12" t="inlineStr">
        <is>
          <t>Post to closed period → rejected; review exceptions.</t>
        </is>
      </c>
      <c r="P68" s="12" t="inlineStr">
        <is>
          <t>Close-lock test</t>
        </is>
      </c>
      <c r="Q68" s="19" t="inlineStr">
        <is>
          <t>Implemented</t>
        </is>
      </c>
    </row>
    <row r="69">
      <c r="A69" s="15" t="inlineStr">
        <is>
          <t>GL-03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Equity</t>
        </is>
      </c>
      <c r="E69" s="16" t="inlineStr">
        <is>
          <t>Unauthorized year-end close / RE roll.</t>
        </is>
      </c>
      <c r="F69" s="16" t="inlineStr">
        <is>
          <t>Cutoff/Authorization</t>
        </is>
      </c>
      <c r="G69" s="16" t="inlineStr">
        <is>
          <t>Year-end close restricted to 'exec'; closing entries roll to retained earnings.</t>
        </is>
      </c>
      <c r="H69" s="17" t="inlineStr">
        <is>
          <t>Prev</t>
        </is>
      </c>
      <c r="I69" s="17" t="inlineStr">
        <is>
          <t>Auto+Manual</t>
        </is>
      </c>
      <c r="J69" s="17" t="inlineStr">
        <is>
          <t>Annual</t>
        </is>
      </c>
      <c r="K69" s="16" t="inlineStr">
        <is>
          <t>CFO / Controller</t>
        </is>
      </c>
      <c r="L69" s="17" t="inlineStr">
        <is>
          <t>P10/P11</t>
        </is>
      </c>
      <c r="M69" s="16" t="inlineStr">
        <is>
          <t>ledger.controller.ts (close-year @Permissions exec); closeYear</t>
        </is>
      </c>
      <c r="N69" s="16" t="inlineStr">
        <is>
          <t>Inspect permission + closing logic.</t>
        </is>
      </c>
      <c r="O69" s="16" t="inlineStr">
        <is>
          <t>Attempt close w/o exec → 403; review annual close.</t>
        </is>
      </c>
      <c r="P69" s="16" t="inlineStr">
        <is>
          <t>Close package</t>
        </is>
      </c>
      <c r="Q69" s="19" t="inlineStr">
        <is>
          <t>Implemented</t>
        </is>
      </c>
    </row>
    <row r="70">
      <c r="A70" s="11" t="inlineStr">
        <is>
          <t>GL-04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Concurrent posting double-books the same source doc.</t>
        </is>
      </c>
      <c r="F70" s="12" t="inlineStr">
        <is>
          <t>Completeness/Accuracy</t>
        </is>
      </c>
      <c r="G70" s="12" t="inlineStr">
        <is>
          <t>Ledger idempotency — UNIQUE (tenant,source,source_ref,ledger) + ON CONFLICT DO NOTHING in postEntry.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Eng Lead / Controller</t>
        </is>
      </c>
      <c r="L70" s="13" t="inlineStr">
        <is>
          <t>P10</t>
        </is>
      </c>
      <c r="M70" s="12" t="inlineStr">
        <is>
          <t>schema/ledger.ts (ux_je_idem); ledger.service.ts; migration 0058</t>
        </is>
      </c>
      <c r="N70" s="12" t="inlineStr">
        <is>
          <t>Inspect unique index + conflict handling.</t>
        </is>
      </c>
      <c r="O70" s="12" t="inlineStr">
        <is>
          <t>Concurrent identical post → single entry.</t>
        </is>
      </c>
      <c r="P70" s="12" t="inlineStr">
        <is>
          <t>Dedup test</t>
        </is>
      </c>
      <c r="Q70" s="19" t="inlineStr">
        <is>
          <t>Implemented</t>
        </is>
      </c>
    </row>
    <row r="71">
      <c r="A71" s="15" t="inlineStr">
        <is>
          <t>GL-05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Manual JE posted without independent review (override risk).</t>
        </is>
      </c>
      <c r="F71" s="16" t="inlineStr">
        <is>
          <t>Authorization</t>
        </is>
      </c>
      <c r="G71" s="16" t="inlineStr">
        <is>
          <t>Manual journal-entry maker-checker — preparer ≠ approver before a manual JE posts.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Per manual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1" s="16" t="inlineStr">
        <is>
          <t>Inspect JE approval routing.</t>
        </is>
      </c>
      <c r="O71" s="16" t="inlineStr">
        <is>
          <t>Sample manual JEs: approver ≠ preparer; Draft excluded from balances until approved (re-performed by the harness).</t>
        </is>
      </c>
      <c r="P71" s="16" t="inlineStr">
        <is>
          <t>JE approvals</t>
        </is>
      </c>
      <c r="Q71" s="19" t="inlineStr">
        <is>
          <t>Implemented</t>
        </is>
      </c>
    </row>
    <row r="72">
      <c r="A72" s="11" t="inlineStr">
        <is>
          <t>GL-06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Operator mis-posts to another tenant's books.</t>
        </is>
      </c>
      <c r="F72" s="12" t="inlineStr">
        <is>
          <t>Validity</t>
        </is>
      </c>
      <c r="G72" s="12" t="inlineStr">
        <is>
          <t>HQ cross-tenant posting gated to Admin (explicit tenant override); others pinned to context (also RLS).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Eng Lead</t>
        </is>
      </c>
      <c r="L72" s="13" t="inlineStr">
        <is>
          <t>P10/P11</t>
        </is>
      </c>
      <c r="M72" s="12" t="inlineStr">
        <is>
          <t>ledger.controller.ts (hqTenant)</t>
        </is>
      </c>
      <c r="N72" s="12" t="inlineStr">
        <is>
          <t>Inspect Admin gating of tenant_id.</t>
        </is>
      </c>
      <c r="O72" s="12" t="inlineStr">
        <is>
          <t>Non-Admin tenant override ignored; Admin audited.</t>
        </is>
      </c>
      <c r="P72" s="12" t="inlineStr">
        <is>
          <t>Override test</t>
        </is>
      </c>
      <c r="Q72" s="19" t="inlineStr">
        <is>
          <t>Implemented</t>
        </is>
      </c>
    </row>
    <row r="73">
      <c r="A73" s="15" t="inlineStr">
        <is>
          <t>GL-07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Cash</t>
        </is>
      </c>
      <c r="E73" s="16" t="inlineStr">
        <is>
          <t>Statement of cash flows mis-stated or doesn't tie to the change in cash.</t>
        </is>
      </c>
      <c r="F73" s="16" t="inlineStr">
        <is>
          <t>Accuracy/Completeness</t>
        </is>
      </c>
      <c r="G7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(cashFlowStatement, cashFlowDirect, cashFlowForecast); ledger.controller.ts (GET cash-flow, cash-flow-direct, cash-flow-forecast); cutover/basics.ts (ToE)</t>
        </is>
      </c>
      <c r="N73" s="16" t="inlineStr">
        <is>
          <t>Inspect SCF derivation + reconciliation flag; inspect direct-method bucketing and forecast projection.</t>
        </is>
      </c>
      <c r="O7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3" s="16" t="inlineStr">
        <is>
          <t>Cash-flow reconciliation; direct-method buckets; forecast schedule</t>
        </is>
      </c>
      <c r="Q73" s="19" t="inlineStr">
        <is>
          <t>Implemented</t>
        </is>
      </c>
    </row>
    <row r="74">
      <c r="A74" s="11" t="inlineStr">
        <is>
          <t>GL-08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Standing/period accruals missed, posted unbalanced, or posted without approval; manual re-keying error.</t>
        </is>
      </c>
      <c r="F74" s="12" t="inlineStr">
        <is>
          <t>Completeness/Accuracy/Authorization</t>
        </is>
      </c>
      <c r="G7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due date / per template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4" s="12" t="inlineStr">
        <is>
          <t>Inspect template balance validation + scheduled posting as Draft + idempotency.</t>
        </is>
      </c>
      <c r="O7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4" s="12" t="inlineStr">
        <is>
          <t>Recurring-journal templates; scheduled run log; JE approvals</t>
        </is>
      </c>
      <c r="Q74" s="19" t="inlineStr">
        <is>
          <t>Implemented</t>
        </is>
      </c>
    </row>
    <row r="75">
      <c r="A75" s="15" t="inlineStr">
        <is>
          <t>GL-09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Prepaid expenses; Operating expense</t>
        </is>
      </c>
      <c r="E75" s="16" t="inlineStr">
        <is>
          <t>Prepaid expense not amortized over its term — expense mis-stated, prepaid asset overstated.</t>
        </is>
      </c>
      <c r="F75" s="16" t="inlineStr">
        <is>
          <t>Accuracy/Completeness</t>
        </is>
      </c>
      <c r="G7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 / per schedule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5" s="16" t="inlineStr">
        <is>
          <t>Inspect amortization slice + final-period remainder + idempotency.</t>
        </is>
      </c>
      <c r="O75" s="16" t="inlineStr">
        <is>
          <t>Register a 12-month prepaid; run amortizes 1/12 to expense; re-run posts nothing (re-performed by the harness).</t>
        </is>
      </c>
      <c r="P75" s="16" t="inlineStr">
        <is>
          <t>Prepaid schedules; amortization run log</t>
        </is>
      </c>
      <c r="Q75" s="19" t="inlineStr">
        <is>
          <t>Implemented</t>
        </is>
      </c>
    </row>
    <row r="76">
      <c r="A76" s="11" t="inlineStr">
        <is>
          <t>EXP-07</t>
        </is>
      </c>
      <c r="B76" s="12" t="inlineStr">
        <is>
          <t>Expenditure</t>
        </is>
      </c>
      <c r="C76" s="13" t="inlineStr">
        <is>
          <t>Application</t>
        </is>
      </c>
      <c r="D76" s="12" t="inlineStr">
        <is>
          <t>Cash; Operating expense</t>
        </is>
      </c>
      <c r="E76" s="12" t="inlineStr">
        <is>
          <t>Petty-cash / employee advance issued but never accounted for — cash leakage, expense unrecorded.</t>
        </is>
      </c>
      <c r="F76" s="12" t="inlineStr">
        <is>
          <t>Existence/Completeness</t>
        </is>
      </c>
      <c r="G7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advance</t>
        </is>
      </c>
      <c r="K76" s="12" t="inlineStr">
        <is>
          <t>AP / Controller</t>
        </is>
      </c>
      <c r="L76" s="13" t="inlineStr">
        <is>
          <t>P10</t>
        </is>
      </c>
      <c r="M7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6" s="12" t="inlineStr">
        <is>
          <t>Inspect issue/settle GL + settlement reconciliation guard.</t>
        </is>
      </c>
      <c r="O76" s="12" t="inlineStr">
        <is>
          <t>Issue an advance (1180 up); settle 700+300 clears 1180; mismatched settle → SETTLE_MISMATCH (re-performed by the harness).</t>
        </is>
      </c>
      <c r="P76" s="12" t="inlineStr">
        <is>
          <t>Advance register; outstanding float</t>
        </is>
      </c>
      <c r="Q76" s="19" t="inlineStr">
        <is>
          <t>Implemented</t>
        </is>
      </c>
    </row>
    <row r="77">
      <c r="A77" s="15" t="inlineStr">
        <is>
          <t>FA-07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not adjusted for revaluation/impairment — asset over/understated.</t>
        </is>
      </c>
      <c r="F77" s="16" t="inlineStr">
        <is>
          <t>Valuation</t>
        </is>
      </c>
      <c r="G7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7" s="16" t="inlineStr">
        <is>
          <t>Inspect revaluation/impairment routing + audit log + disposal recycling.</t>
        </is>
      </c>
      <c r="O7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7" s="16" t="inlineStr">
        <is>
          <t>Revaluation log; disposal recycling JE</t>
        </is>
      </c>
      <c r="Q77" s="19" t="inlineStr">
        <is>
          <t>Implemented</t>
        </is>
      </c>
    </row>
    <row r="78">
      <c r="A78" s="11" t="inlineStr">
        <is>
          <t>FA-08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8" s="12" t="inlineStr">
        <is>
          <t>Authorization</t>
        </is>
      </c>
      <c r="G7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8" s="12" t="inlineStr">
        <is>
          <t>Inspect Draft→approve flow + the approver≠preparer check + deferred carrying-value update.</t>
        </is>
      </c>
      <c r="O7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8" s="12" t="inlineStr">
        <is>
          <t>Revaluation approval log + SoD test</t>
        </is>
      </c>
      <c r="Q78" s="19" t="inlineStr">
        <is>
          <t>Implemented</t>
        </is>
      </c>
    </row>
    <row r="79">
      <c r="A79" s="15" t="inlineStr">
        <is>
          <t>LSE-01</t>
        </is>
      </c>
      <c r="B79" s="16" t="inlineStr">
        <is>
          <t>Leases</t>
        </is>
      </c>
      <c r="C79" s="17" t="inlineStr">
        <is>
          <t>Application</t>
        </is>
      </c>
      <c r="D79" s="16" t="inlineStr">
        <is>
          <t>Right-of-use assets; Lease liabilities</t>
        </is>
      </c>
      <c r="E79" s="16" t="inlineStr">
        <is>
          <t>Lease not capitalised (IFRS 16 / TFRS 16) — ROU asset + lease liability omitted; interest/depreciation mis-stated.</t>
        </is>
      </c>
      <c r="F79" s="16" t="inlineStr">
        <is>
          <t>Completeness/Accuracy/Valuation</t>
        </is>
      </c>
      <c r="G7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 / per lease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9" s="16" t="inlineStr">
        <is>
          <t>Inspect PV recognition + periodic interest/payment/depreciation + final-period clearing + modification remeasurement.</t>
        </is>
      </c>
      <c r="O7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9" s="16" t="inlineStr">
        <is>
          <t>Lease register; periodic run log; modification remeasurement</t>
        </is>
      </c>
      <c r="Q79" s="19" t="inlineStr">
        <is>
          <t>Implemented</t>
        </is>
      </c>
    </row>
    <row r="80">
      <c r="A80" s="11" t="inlineStr">
        <is>
          <t>REC-01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Subledgers diverge from GL undetected.</t>
        </is>
      </c>
      <c r="F80" s="12" t="inlineStr">
        <is>
          <t>Completeness/Accuracy</t>
        </is>
      </c>
      <c r="G80" s="12" t="inlineStr">
        <is>
          <t>Subledger-to-GL reconciliation per period: import GL, auto-match, certify (sign-off via 'approvals').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reconciliation.service.ts (importGlItems/autoMatch/certify)</t>
        </is>
      </c>
      <c r="N80" s="12" t="inlineStr">
        <is>
          <t>Inspect recon + certify gate.</t>
        </is>
      </c>
      <c r="O80" s="12" t="inlineStr">
        <is>
          <t>Sample periods: reconciled, unmatched cleared, certified.</t>
        </is>
      </c>
      <c r="P80" s="12" t="inlineStr">
        <is>
          <t>Certified recon</t>
        </is>
      </c>
      <c r="Q80" s="19" t="inlineStr">
        <is>
          <t>Implemented</t>
        </is>
      </c>
    </row>
    <row r="81">
      <c r="A81" s="15" t="inlineStr">
        <is>
          <t>REC-02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Cash</t>
        </is>
      </c>
      <c r="E81" s="16" t="inlineStr">
        <is>
          <t>Bank balance not reconciled to GL.</t>
        </is>
      </c>
      <c r="F81" s="16" t="inlineStr">
        <is>
          <t>Existence/Completeness</t>
        </is>
      </c>
      <c r="G81" s="16" t="inlineStr">
        <is>
          <t>Bank reconciliation against statements.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bank module; drizzle/0015_bank_reconciliation</t>
        </is>
      </c>
      <c r="N81" s="16" t="inlineStr">
        <is>
          <t>Inspect bank-rec process.</t>
        </is>
      </c>
      <c r="O81" s="16" t="inlineStr">
        <is>
          <t>Sample months reconciled &amp; reviewed.</t>
        </is>
      </c>
      <c r="P81" s="16" t="inlineStr">
        <is>
          <t>Bank rec</t>
        </is>
      </c>
      <c r="Q81" s="19" t="inlineStr">
        <is>
          <t>Implemented</t>
        </is>
      </c>
    </row>
    <row r="82">
      <c r="A82" s="11" t="inlineStr">
        <is>
          <t>BANK-02</t>
        </is>
      </c>
      <c r="B82" s="12" t="inlineStr">
        <is>
          <t>Cash &amp; Treasury</t>
        </is>
      </c>
      <c r="C82" s="13" t="inlineStr">
        <is>
          <t>Application</t>
        </is>
      </c>
      <c r="D82" s="12" t="inlineStr">
        <is>
          <t>Cash; Operating expense; Interest income</t>
        </is>
      </c>
      <c r="E8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2" s="12" t="inlineStr">
        <is>
          <t>Authorization/Accuracy</t>
        </is>
      </c>
      <c r="G8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adjustment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2" s="12" t="inlineStr">
        <is>
          <t>Inspect the request→approve flow + the approver≠requester check + that the Draft posts nothing until approval.</t>
        </is>
      </c>
      <c r="O8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2" s="12" t="inlineStr">
        <is>
          <t>Bank adjustment queue + SoD test</t>
        </is>
      </c>
      <c r="Q82" s="19" t="inlineStr">
        <is>
          <t>Implemented</t>
        </is>
      </c>
    </row>
    <row r="83">
      <c r="A83" s="15" t="inlineStr">
        <is>
          <t>REC-03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Consolidation</t>
        </is>
      </c>
      <c r="E83" s="16" t="inlineStr">
        <is>
          <t>Intercompany balances not eliminated/agreed.</t>
        </is>
      </c>
      <c r="F83" s="16" t="inlineStr">
        <is>
          <t>Accuracy</t>
        </is>
      </c>
      <c r="G83" s="16" t="inlineStr">
        <is>
          <t>Intercompany reconciliation &amp; elimination on consolidation.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Period</t>
        </is>
      </c>
      <c r="K83" s="16" t="inlineStr">
        <is>
          <t>Group Controller</t>
        </is>
      </c>
      <c r="L83" s="17" t="inlineStr">
        <is>
          <t>P16</t>
        </is>
      </c>
      <c r="M83" s="16" t="inlineStr">
        <is>
          <t>intercompany; consolidation</t>
        </is>
      </c>
      <c r="N83" s="16" t="inlineStr">
        <is>
          <t>Inspect IC matching + elimination.</t>
        </is>
      </c>
      <c r="O83" s="16" t="inlineStr">
        <is>
          <t>Sample IC pairs agree &amp; eliminate.</t>
        </is>
      </c>
      <c r="P83" s="16" t="inlineStr">
        <is>
          <t>IC recon</t>
        </is>
      </c>
      <c r="Q83" s="18" t="inlineStr">
        <is>
          <t>Partial</t>
        </is>
      </c>
    </row>
    <row r="84">
      <c r="A84" s="11" t="inlineStr">
        <is>
          <t>REC-04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 control accounts</t>
        </is>
      </c>
      <c r="E84" s="12" t="inlineStr">
        <is>
          <t>A sub-ledger silently drifts from its GL control account at period-end and no single review catches it (incomplete/inaccurate balances reach the financial statements).</t>
        </is>
      </c>
      <c r="F84" s="12" t="inlineStr">
        <is>
          <t>Completeness/Accuracy</t>
        </is>
      </c>
      <c r="G8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Period / on demand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4" s="12" t="inlineStr">
        <is>
          <t>Inspect the pack: each control account's sub-ledger query + the GL tie + the exceptions roll-up.</t>
        </is>
      </c>
      <c r="O8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4" s="12" t="inlineStr">
        <is>
          <t>Reconciliation pack; exceptions list</t>
        </is>
      </c>
      <c r="Q84" s="19" t="inlineStr">
        <is>
          <t>Implemented</t>
        </is>
      </c>
    </row>
    <row r="85">
      <c r="A85" s="15" t="inlineStr">
        <is>
          <t>GOV-01</t>
        </is>
      </c>
      <c r="B85" s="16" t="inlineStr">
        <is>
          <t>Monitoring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5" s="16" t="inlineStr">
        <is>
          <t>Authorization/Completeness</t>
        </is>
      </c>
      <c r="G8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FX-rate (FX-04) and budget (BUD-01) maker-checkers. The controller reviews it before close; a stale item (age beyond the threshold) is a control finding to chase or escalate. Read-only; tenant-scoped via the caller's RLS.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Continuous / pre-close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BANKADJ→BANK-02)/apPayments/payruns/asset_revaluations/fixed_assets(disposal_pending)/inv_writeoff_requests/fx_rates(PendingApproval)/budgets(PendingApproval); cutover/compliance.ts (ToE)</t>
        </is>
      </c>
      <c r="N85" s="16" t="inlineStr">
        <is>
          <t>Inspect the aggregation across all pending sources + the age/overdue roll-up.</t>
        </is>
      </c>
      <c r="O8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5" s="16" t="inlineStr">
        <is>
          <t>Pending-approvals worklist</t>
        </is>
      </c>
      <c r="Q85" s="19" t="inlineStr">
        <is>
          <t>Implemented</t>
        </is>
      </c>
    </row>
    <row r="86">
      <c r="A86" s="11" t="inlineStr">
        <is>
          <t>TAX-01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(VAT)</t>
        </is>
      </c>
      <c r="E86" s="12" t="inlineStr">
        <is>
          <t>VAT computed incorrectly → filing/penalty risk.</t>
        </is>
      </c>
      <c r="F86" s="12" t="inlineStr">
        <is>
          <t>Accuracy</t>
        </is>
      </c>
      <c r="G86" s="12" t="inlineStr">
        <is>
          <t>VAT via pluggable provider (TH 7%); unit-tested; no hard-coded rate.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</t>
        </is>
      </c>
      <c r="K86" s="12" t="inlineStr">
        <is>
          <t>Tax / Controller</t>
        </is>
      </c>
      <c r="L86" s="13" t="inlineStr">
        <is>
          <t>P10</t>
        </is>
      </c>
      <c r="M86" s="12" t="inlineStr">
        <is>
          <t>tax/tax-providers.ts; tax.service.ts; test/unit.test.ts</t>
        </is>
      </c>
      <c r="N86" s="12" t="inlineStr">
        <is>
          <t>Inspect rate provider + tests.</t>
        </is>
      </c>
      <c r="O86" s="12" t="inlineStr">
        <is>
          <t>Re-perform VAT on sample; tie to return.</t>
        </is>
      </c>
      <c r="P86" s="12" t="inlineStr">
        <is>
          <t>VAT tests</t>
        </is>
      </c>
      <c r="Q86" s="19" t="inlineStr">
        <is>
          <t>Implemented</t>
        </is>
      </c>
    </row>
    <row r="87">
      <c r="A87" s="15" t="inlineStr">
        <is>
          <t>TAX-02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Tax; Revenue</t>
        </is>
      </c>
      <c r="E87" s="16" t="inlineStr">
        <is>
          <t>Non-compliant e-Tax invoice / not transmitted to ETDA.</t>
        </is>
      </c>
      <c r="F87" s="16" t="inlineStr">
        <is>
          <t>Accuracy/Compliance</t>
        </is>
      </c>
      <c r="G87" s="16" t="inlineStr">
        <is>
          <t>e-Tax invoice (ETDA UBL 2.1 XML) generation + email with CC to ETDA timestamp mailbox.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invoice</t>
        </is>
      </c>
      <c r="K87" s="16" t="inlineStr">
        <is>
          <t>Tax</t>
        </is>
      </c>
      <c r="L87" s="17" t="inlineStr">
        <is>
          <t>P10/P13</t>
        </is>
      </c>
      <c r="M87" s="16" t="inlineStr">
        <is>
          <t>tax-docs/etax-xml.ts; etax-email.service.ts (tested)</t>
        </is>
      </c>
      <c r="N87" s="16" t="inlineStr">
        <is>
          <t>Inspect XML schema + email composer.</t>
        </is>
      </c>
      <c r="O87" s="16" t="inlineStr">
        <is>
          <t>Sample invoices: valid XML, correct CC/escaping.</t>
        </is>
      </c>
      <c r="P87" s="16" t="inlineStr">
        <is>
          <t>e-Tax samples</t>
        </is>
      </c>
      <c r="Q87" s="19" t="inlineStr">
        <is>
          <t>Implemented</t>
        </is>
      </c>
    </row>
    <row r="88">
      <c r="A88" s="11" t="inlineStr">
        <is>
          <t>TAX-03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(WHT)</t>
        </is>
      </c>
      <c r="E88" s="12" t="inlineStr">
        <is>
          <t>Withholding tax mis-computed / not reported.</t>
        </is>
      </c>
      <c r="F88" s="12" t="inlineStr">
        <is>
          <t>Accuracy</t>
        </is>
      </c>
      <c r="G88" s="12" t="inlineStr">
        <is>
          <t>WHT computation and ภ.ง.ด.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 / monthly</t>
        </is>
      </c>
      <c r="K88" s="12" t="inlineStr">
        <is>
          <t>Tax</t>
        </is>
      </c>
      <c r="L88" s="13" t="inlineStr">
        <is>
          <t>P10</t>
        </is>
      </c>
      <c r="M88" s="12" t="inlineStr">
        <is>
          <t>tax-reports; payroll</t>
        </is>
      </c>
      <c r="N88" s="12" t="inlineStr">
        <is>
          <t>Inspect WHT logic + report.</t>
        </is>
      </c>
      <c r="O88" s="12" t="inlineStr">
        <is>
          <t>Re-perform WHT on sample; tie to filing.</t>
        </is>
      </c>
      <c r="P88" s="12" t="inlineStr">
        <is>
          <t>WHT report</t>
        </is>
      </c>
      <c r="Q88" s="18" t="inlineStr">
        <is>
          <t>Partial</t>
        </is>
      </c>
    </row>
    <row r="89">
      <c r="A89" s="15" t="inlineStr">
        <is>
          <t>PAY-01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</t>
        </is>
      </c>
      <c r="E89" s="16" t="inlineStr">
        <is>
          <t>Payroll, SSO and PIT mis-computed.</t>
        </is>
      </c>
      <c r="F89" s="16" t="inlineStr">
        <is>
          <t>Accuracy</t>
        </is>
      </c>
      <c r="G89" s="16" t="inlineStr">
        <is>
          <t>Payroll engine — SSO 5% (cap 750), progressive PIT, payslip net; unit-tested.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payroll/payroll-calc.ts; test/unit.test.ts</t>
        </is>
      </c>
      <c r="N89" s="16" t="inlineStr">
        <is>
          <t>Inspect calc + tests.</t>
        </is>
      </c>
      <c r="O89" s="16" t="inlineStr">
        <is>
          <t>Re-perform sample payslips.</t>
        </is>
      </c>
      <c r="P89" s="16" t="inlineStr">
        <is>
          <t>Payslip tests</t>
        </is>
      </c>
      <c r="Q89" s="19" t="inlineStr">
        <is>
          <t>Implemented</t>
        </is>
      </c>
    </row>
    <row r="90">
      <c r="A90" s="11" t="inlineStr">
        <is>
          <t>PAY-02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liability</t>
        </is>
      </c>
      <c r="E90" s="12" t="inlineStr">
        <is>
          <t>Statutory items (PF/OT/leave/ภ.ง.ด.1ก) wrong.</t>
        </is>
      </c>
      <c r="F90" s="12" t="inlineStr">
        <is>
          <t>Accuracy/Compliance</t>
        </is>
      </c>
      <c r="G90" s="12" t="inlineStr">
        <is>
          <t>Provident fund, overtime, leave accrual and ภ.ง.ด.1ก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 / monthly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hcm; payroll (Phase 19)</t>
        </is>
      </c>
      <c r="N90" s="12" t="inlineStr">
        <is>
          <t>Inspect statutory logic.</t>
        </is>
      </c>
      <c r="O90" s="12" t="inlineStr">
        <is>
          <t>Sample run tied to statutory filings.</t>
        </is>
      </c>
      <c r="P90" s="12" t="inlineStr">
        <is>
          <t>Filings</t>
        </is>
      </c>
      <c r="Q90" s="18" t="inlineStr">
        <is>
          <t>Partial</t>
        </is>
      </c>
    </row>
    <row r="91">
      <c r="A91" s="15" t="inlineStr">
        <is>
          <t>PAY-03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expense/liability; Cash</t>
        </is>
      </c>
      <c r="E91" s="16" t="inlineStr">
        <is>
          <t>Payroll run posted to the GL without independent review — the preparer both computes and posts their own payroll (ghost employees, inflated rate/hours).</t>
        </is>
      </c>
      <c r="F91" s="16" t="inlineStr">
        <is>
          <t>Authorization</t>
        </is>
      </c>
      <c r="G9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Payroll; Controller</t>
        </is>
      </c>
      <c r="L91" s="17" t="inlineStr">
        <is>
          <t>P10</t>
        </is>
      </c>
      <c r="M91" s="16" t="inlineStr">
        <is>
          <t>payroll/payroll.service.ts approvePayroll/rejectPayroll; migration 0133</t>
        </is>
      </c>
      <c r="N91" s="16" t="inlineStr">
        <is>
          <t>Inspect Draft→approve flow + the approver≠preparer check.</t>
        </is>
      </c>
      <c r="O91" s="16" t="inlineStr">
        <is>
          <t>Re-perform: run as A, attempt self-approve (SOD_VIOLATION), approve as B; confirm the JE hits balances only after approval.</t>
        </is>
      </c>
      <c r="P91" s="16" t="inlineStr">
        <is>
          <t>Approval log + SoD test</t>
        </is>
      </c>
      <c r="Q91" s="19" t="inlineStr">
        <is>
          <t>Implemented</t>
        </is>
      </c>
    </row>
    <row r="92">
      <c r="A92" s="11" t="inlineStr">
        <is>
          <t>FA-09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Cash</t>
        </is>
      </c>
      <c r="E9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2" s="12" t="inlineStr">
        <is>
          <t>Authorization</t>
        </is>
      </c>
      <c r="G9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disposal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2" s="12" t="inlineStr">
        <is>
          <t>Inspect Draft→approve flow + the approver≠requester check + deferred status/recycle.</t>
        </is>
      </c>
      <c r="O9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2" s="12" t="inlineStr">
        <is>
          <t>Disposal approval log + SoD test</t>
        </is>
      </c>
      <c r="Q92" s="19" t="inlineStr">
        <is>
          <t>Implemented</t>
        </is>
      </c>
    </row>
    <row r="93">
      <c r="A93" s="15" t="inlineStr">
        <is>
          <t>FA-10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Accounts Payable</t>
        </is>
      </c>
      <c r="E9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3" s="16" t="inlineStr">
        <is>
          <t>Authorization; Accuracy</t>
        </is>
      </c>
      <c r="G9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capital receipt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3" s="16" t="inlineStr">
        <is>
          <t>Inspect the eligible→request→approve flow + approver≠requester check + the inventory-vs-asset routing of capital lines.</t>
        </is>
      </c>
      <c r="O9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3" s="16" t="inlineStr">
        <is>
          <t>Capitalization approval log + SoD test</t>
        </is>
      </c>
      <c r="Q93" s="19" t="inlineStr">
        <is>
          <t>Implemented</t>
        </is>
      </c>
    </row>
    <row r="94">
      <c r="A94" s="11" t="inlineStr">
        <is>
          <t>CON-01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Consolidation</t>
        </is>
      </c>
      <c r="E94" s="12" t="inlineStr">
        <is>
          <t>Group consolidation mis-stated (ownership/currency).</t>
        </is>
      </c>
      <c r="F94" s="12" t="inlineStr">
        <is>
          <t>Accuracy</t>
        </is>
      </c>
      <c r="G94" s="12" t="inlineStr">
        <is>
          <t>Consolidation run (ownership %, entity currency) gated by 'approvals'.</t>
        </is>
      </c>
      <c r="H94" s="13" t="inlineStr">
        <is>
          <t>Auto+Manual</t>
        </is>
      </c>
      <c r="I94" s="13" t="inlineStr">
        <is>
          <t>Period</t>
        </is>
      </c>
      <c r="J94" s="13" t="inlineStr">
        <is>
          <t>Period</t>
        </is>
      </c>
      <c r="K94" s="12" t="inlineStr">
        <is>
          <t>Group Controller</t>
        </is>
      </c>
      <c r="L94" s="13" t="inlineStr">
        <is>
          <t>P10</t>
        </is>
      </c>
      <c r="M94" s="12" t="inlineStr">
        <is>
          <t>consolidation.service.ts (runConsolidation @Permissions approvals)</t>
        </is>
      </c>
      <c r="N94" s="12" t="inlineStr">
        <is>
          <t>Inspect consolidation logic + gate.</t>
        </is>
      </c>
      <c r="O94" s="12" t="inlineStr">
        <is>
          <t>Sample period: consolidated TB ties to entities.</t>
        </is>
      </c>
      <c r="P94" s="12" t="inlineStr">
        <is>
          <t>Consol TB</t>
        </is>
      </c>
      <c r="Q94" s="19" t="inlineStr">
        <is>
          <t>Implemented</t>
        </is>
      </c>
    </row>
    <row r="95">
      <c r="A95" s="15" t="inlineStr">
        <is>
          <t>CON-02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FX gain/loss</t>
        </is>
      </c>
      <c r="E95" s="16" t="inlineStr">
        <is>
          <t>FX exposures not revalued at period-end.</t>
        </is>
      </c>
      <c r="F95" s="16" t="inlineStr">
        <is>
          <t>Valuation</t>
        </is>
      </c>
      <c r="G95" s="16" t="inlineStr">
        <is>
          <t>FX revaluation at period-end rates; unrealized FX posted (acct 5400).</t>
        </is>
      </c>
      <c r="H95" s="17" t="inlineStr">
        <is>
          <t>Auto+Manual</t>
        </is>
      </c>
      <c r="I95" s="17" t="inlineStr">
        <is>
          <t>Period-end</t>
        </is>
      </c>
      <c r="J95" s="17" t="inlineStr">
        <is>
          <t>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fx.service.ts (revalue / unrealized report)</t>
        </is>
      </c>
      <c r="N95" s="16" t="inlineStr">
        <is>
          <t>Inspect reval logic + rates.</t>
        </is>
      </c>
      <c r="O95" s="16" t="inlineStr">
        <is>
          <t>Recompute reval on sample balances.</t>
        </is>
      </c>
      <c r="P95" s="16" t="inlineStr">
        <is>
          <t>FX reval JE</t>
        </is>
      </c>
      <c r="Q95" s="19" t="inlineStr">
        <is>
          <t>Implemented</t>
        </is>
      </c>
    </row>
    <row r="96">
      <c r="A96" s="11" t="inlineStr">
        <is>
          <t>FX-04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FX gain/loss; Revenue; AR/AP</t>
        </is>
      </c>
      <c r="E96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6" s="12" t="inlineStr">
        <is>
          <t>Accuracy/Valuation</t>
        </is>
      </c>
      <c r="G96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rate</t>
        </is>
      </c>
      <c r="K96" s="12" t="inlineStr">
        <is>
          <t>Controller / Treasury</t>
        </is>
      </c>
      <c r="L96" s="13" t="inlineStr">
        <is>
          <t>P10</t>
        </is>
      </c>
      <c r="M96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0140; cutover/fxreval.ts (ToE)</t>
        </is>
      </c>
      <c r="N96" s="12" t="inlineStr">
        <is>
          <t>Inspect the request→approve flow + the approver≠requester check + that revaluation/reporting resolve Approved rates only.</t>
        </is>
      </c>
      <c r="O96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6" s="12" t="inlineStr">
        <is>
          <t>FX rate approval log + SoD test</t>
        </is>
      </c>
      <c r="Q96" s="19" t="inlineStr">
        <is>
          <t>Implemented</t>
        </is>
      </c>
    </row>
    <row r="97">
      <c r="A97" s="15" t="inlineStr">
        <is>
          <t>BUD-01</t>
        </is>
      </c>
      <c r="B97" s="16" t="inlineStr">
        <is>
          <t>Budgeting &amp; Planning</t>
        </is>
      </c>
      <c r="C97" s="17" t="inlineStr">
        <is>
          <t>Application</t>
        </is>
      </c>
      <c r="D97" s="16" t="inlineStr">
        <is>
          <t>Budget; All (variance reporting)</t>
        </is>
      </c>
      <c r="E97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7" s="16" t="inlineStr">
        <is>
          <t>Authorization/Accuracy</t>
        </is>
      </c>
      <c r="G97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budget</t>
        </is>
      </c>
      <c r="K97" s="16" t="inlineStr">
        <is>
          <t>Controller / FP&amp;A</t>
        </is>
      </c>
      <c r="L97" s="17" t="inlineStr">
        <is>
          <t>P10</t>
        </is>
      </c>
      <c r="M97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0141; cutover/budget.ts (ToE)</t>
        </is>
      </c>
      <c r="N97" s="16" t="inlineStr">
        <is>
          <t>Inspect the request→approve flow + the approver≠requester check + that budget-vs-actual counts Approved budgets only.</t>
        </is>
      </c>
      <c r="O97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7" s="16" t="inlineStr">
        <is>
          <t>Budget approval log + SoD test</t>
        </is>
      </c>
      <c r="Q97" s="19" t="inlineStr">
        <is>
          <t>Implemented</t>
        </is>
      </c>
    </row>
  </sheetData>
  <autoFilter ref="A1:Q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COUNTIF(RCM!$Q$2:$Q$97,B5)</f>
        <v/>
      </c>
    </row>
    <row r="6">
      <c r="B6" s="30" t="inlineStr">
        <is>
          <t>Partial</t>
        </is>
      </c>
      <c r="C6" s="29">
        <f>COUNTIF(RCM!$Q$2:$Q$97,B6)</f>
        <v/>
      </c>
    </row>
    <row r="7">
      <c r="B7" s="31" t="inlineStr">
        <is>
          <t>Gap</t>
        </is>
      </c>
      <c r="C7" s="29">
        <f>COUNTIF(RCM!$Q$2:$Q$97,B7)</f>
        <v/>
      </c>
    </row>
    <row r="8">
      <c r="B8" s="32" t="inlineStr">
        <is>
          <t>Total</t>
        </is>
      </c>
      <c r="C8" s="32">
        <f>COUNTA(RCM!$A$2:$A$97)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COUNTIF(RCM!$C$2:$C$97,B11)</f>
        <v/>
      </c>
    </row>
    <row r="12">
      <c r="B12" s="29" t="inlineStr">
        <is>
          <t>ITGC</t>
        </is>
      </c>
      <c r="C12" s="29">
        <f>COUNTIF(RCM!$C$2:$C$97,B12)</f>
        <v/>
      </c>
    </row>
    <row r="13">
      <c r="B13" s="29" t="inlineStr">
        <is>
          <t>Application</t>
        </is>
      </c>
      <c r="C13" s="29">
        <f>COUNTIF(RCM!$C$2:$C$97,B13)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2026-06-26T03:49:32Z</dcterms:created>
  <dcterms:modified xmlns:dcterms="http://purl.org/dc/terms/" xmlns:xsi="http://www.w3.org/2001/XMLSchema-instance" xsi:type="dcterms:W3CDTF">2026-06-26T03:49:33Z</dcterms:modified>
</cp:coreProperties>
</file>