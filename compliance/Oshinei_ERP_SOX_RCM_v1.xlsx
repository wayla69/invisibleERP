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'RCM'!$A$1:$Q$210</definedName>
    <definedName name="_xlnm._FilterDatabase" localSheetId="2" hidden="1">'Gap Remediation'!$A$2:$H$5</definedName>
    <definedName name="_xlnm._FilterDatabase" localSheetId="5" hidden="1">'RCM1'!$A$1:$Q$210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row r="210">
      <c r="A210" s="11" t="inlineStr">
        <is>
          <t>BUD-02</t>
        </is>
      </c>
      <c r="B210" s="12" t="inlineStr">
        <is>
          <t>Budgeting &amp; Planning</t>
        </is>
      </c>
      <c r="C210" s="13" t="inlineStr">
        <is>
          <t>Application</t>
        </is>
      </c>
      <c r="D210" s="12" t="inlineStr">
        <is>
          <t>Budget; Procurement (P2P spend)</t>
        </is>
      </c>
      <c r="E21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0" s="12" t="inlineStr">
        <is>
          <t>Authorization/Completeness</t>
        </is>
      </c>
      <c r="G21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0" s="13" t="inlineStr">
        <is>
          <t>Prev</t>
        </is>
      </c>
      <c r="I210" s="13" t="inlineStr">
        <is>
          <t>Automated</t>
        </is>
      </c>
      <c r="J210" s="13" t="inlineStr">
        <is>
          <t>Per approval</t>
        </is>
      </c>
      <c r="K210" s="12" t="inlineStr">
        <is>
          <t>Controller / FP&amp;A</t>
        </is>
      </c>
      <c r="L210" s="13" t="inlineStr">
        <is>
          <t>P10</t>
        </is>
      </c>
      <c r="M21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0" s="12" t="inlineStr">
        <is>
          <t>Inspect the availability formula (budget − actuals − open commitments), the policy switch + fail-open default, the exec-only override with mandatory reason, and the commitment lifecycle (reserve→consume/release).</t>
        </is>
      </c>
      <c r="O21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0" s="12" t="inlineStr">
        <is>
          <t>Budget-control policy + budget_commitments audit rows (override_by/override_reason)</t>
        </is>
      </c>
      <c r="Q210" s="18" t="inlineStr">
        <is>
          <t>Implemented</t>
        </is>
      </c>
    </row>
  </sheetData>
  <autoFilter ref="A1:Q2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COUNTIF(RCM!$Q$2:$Q$210,B5)</f>
        <v/>
      </c>
    </row>
    <row r="6">
      <c r="B6" s="27" t="inlineStr">
        <is>
          <t>Partial</t>
        </is>
      </c>
      <c r="C6" s="26">
        <f>COUNTIF(RCM!$Q$2:$Q$210,B6)</f>
        <v/>
      </c>
    </row>
    <row r="7">
      <c r="B7" s="28" t="inlineStr">
        <is>
          <t>Gap</t>
        </is>
      </c>
      <c r="C7" s="26">
        <f>COUNTIF(RCM!$Q$2:$Q$210,B7)</f>
        <v/>
      </c>
    </row>
    <row r="8">
      <c r="B8" s="29" t="inlineStr">
        <is>
          <t>Total</t>
        </is>
      </c>
      <c r="C8" s="29">
        <f>COUNTA(RCM!$A$2:$A$210)</f>
        <v/>
      </c>
    </row>
    <row r="10">
      <c r="B10" s="24" t="inlineStr">
        <is>
          <t>By Category</t>
        </is>
      </c>
    </row>
    <row r="11">
      <c r="B11" s="26" t="inlineStr">
        <is>
          <t>Entity</t>
        </is>
      </c>
      <c r="C11" s="26">
        <f>COUNTIF(RCM!$C$2:$C$210,B11)</f>
        <v/>
      </c>
    </row>
    <row r="12">
      <c r="B12" s="26" t="inlineStr">
        <is>
          <t>ITGC</t>
        </is>
      </c>
      <c r="C12" s="26">
        <f>COUNTIF(RCM!$C$2:$C$210,B12)</f>
        <v/>
      </c>
    </row>
    <row r="13">
      <c r="B13" s="26" t="inlineStr">
        <is>
          <t>Application</t>
        </is>
      </c>
      <c r="C13" s="26">
        <f>COUNTIF(RCM!$C$2:$C$210,B13)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row r="210">
      <c r="A210" s="11" t="inlineStr">
        <is>
          <t>BUD-02</t>
        </is>
      </c>
      <c r="B210" s="12" t="inlineStr">
        <is>
          <t>Budgeting &amp; Planning</t>
        </is>
      </c>
      <c r="C210" s="13" t="inlineStr">
        <is>
          <t>Application</t>
        </is>
      </c>
      <c r="D210" s="12" t="inlineStr">
        <is>
          <t>Budget; Procurement (P2P spend)</t>
        </is>
      </c>
      <c r="E21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0" s="12" t="inlineStr">
        <is>
          <t>Authorization/Completeness</t>
        </is>
      </c>
      <c r="G21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0" s="13" t="inlineStr">
        <is>
          <t>Prev</t>
        </is>
      </c>
      <c r="I210" s="13" t="inlineStr">
        <is>
          <t>Automated</t>
        </is>
      </c>
      <c r="J210" s="13" t="inlineStr">
        <is>
          <t>Per approval</t>
        </is>
      </c>
      <c r="K210" s="12" t="inlineStr">
        <is>
          <t>Controller / FP&amp;A</t>
        </is>
      </c>
      <c r="L210" s="13" t="inlineStr">
        <is>
          <t>P10</t>
        </is>
      </c>
      <c r="M21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0" s="12" t="inlineStr">
        <is>
          <t>Inspect the availability formula (budget − actuals − open commitments), the policy switch + fail-open default, the exec-only override with mandatory reason, and the commitment lifecycle (reserve→consume/release).</t>
        </is>
      </c>
      <c r="O21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0" s="12" t="inlineStr">
        <is>
          <t>Budget-control policy + budget_commitments audit rows (override_by/override_reason)</t>
        </is>
      </c>
      <c r="Q210" s="18" t="inlineStr">
        <is>
          <t>Implemented</t>
        </is>
      </c>
    </row>
  </sheetData>
  <autoFilter ref="A1:Q2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COUNTIF(RCM!$Q$2:$Q$210,B5)</f>
        <v/>
      </c>
    </row>
    <row r="6">
      <c r="B6" s="27" t="inlineStr">
        <is>
          <t>Partial</t>
        </is>
      </c>
      <c r="C6" s="26">
        <f>COUNTIF(RCM!$Q$2:$Q$210,B6)</f>
        <v/>
      </c>
    </row>
    <row r="7">
      <c r="B7" s="28" t="inlineStr">
        <is>
          <t>Gap</t>
        </is>
      </c>
      <c r="C7" s="26">
        <f>COUNTIF(RCM!$Q$2:$Q$210,B7)</f>
        <v/>
      </c>
    </row>
    <row r="8">
      <c r="B8" s="29" t="inlineStr">
        <is>
          <t>Total</t>
        </is>
      </c>
      <c r="C8" s="29">
        <f>COUNTA(RCM!$A$2:$A$210)</f>
        <v/>
      </c>
    </row>
    <row r="10">
      <c r="B10" s="24" t="inlineStr">
        <is>
          <t>By Category</t>
        </is>
      </c>
    </row>
    <row r="11">
      <c r="B11" s="26" t="inlineStr">
        <is>
          <t>Entity</t>
        </is>
      </c>
      <c r="C11" s="26">
        <f>COUNTIF(RCM!$C$2:$C$210,B11)</f>
        <v/>
      </c>
    </row>
    <row r="12">
      <c r="B12" s="26" t="inlineStr">
        <is>
          <t>ITGC</t>
        </is>
      </c>
      <c r="C12" s="26">
        <f>COUNTIF(RCM!$C$2:$C$210,B12)</f>
        <v/>
      </c>
    </row>
    <row r="13">
      <c r="B13" s="26" t="inlineStr">
        <is>
          <t>Application</t>
        </is>
      </c>
      <c r="C13" s="26">
        <f>COUNTIF(RCM!$C$2:$C$210,B13)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2026-07-10T10:11:34Z</dcterms:created>
  <dcterms:modified xsi:type="dcterms:W3CDTF">2026-07-10T10:11:35Z</dcterms:modified>
</cp:coreProperties>
</file>