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0139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price.</t>
        </is>
      </c>
      <c r="F47" s="16" t="inlineStr">
        <is>
          <t>Occurrence/Accuracy</t>
        </is>
      </c>
      <c r="G47" s="16" t="inlineStr">
        <is>
          <t>3-way match (PO ↔ GR ↔ Invoice) within tolerance gates AP payment.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</t>
        </is>
      </c>
      <c r="N47" s="16" t="inlineStr">
        <is>
          <t>Inspect match + tolerance + payment gate.</t>
        </is>
      </c>
      <c r="O47" s="16" t="inlineStr">
        <is>
          <t>Sample invoices: payment blocked until matched.</t>
        </is>
      </c>
      <c r="P47" s="16" t="inlineStr">
        <is>
          <t>Match results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REC-03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Consolidation</t>
        </is>
      </c>
      <c r="E83" s="16" t="inlineStr">
        <is>
          <t>Intercompany balances not eliminated/agreed.</t>
        </is>
      </c>
      <c r="F83" s="16" t="inlineStr">
        <is>
          <t>Accuracy</t>
        </is>
      </c>
      <c r="G83" s="16" t="inlineStr">
        <is>
          <t>Intercompany reconciliation &amp; elimination on consolidation.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Period</t>
        </is>
      </c>
      <c r="K83" s="16" t="inlineStr">
        <is>
          <t>Group Controller</t>
        </is>
      </c>
      <c r="L83" s="17" t="inlineStr">
        <is>
          <t>P16</t>
        </is>
      </c>
      <c r="M83" s="16" t="inlineStr">
        <is>
          <t>intercompany; consolidation</t>
        </is>
      </c>
      <c r="N83" s="16" t="inlineStr">
        <is>
          <t>Inspect IC matching + elimination.</t>
        </is>
      </c>
      <c r="O83" s="16" t="inlineStr">
        <is>
          <t>Sample IC pairs agree &amp; eliminate.</t>
        </is>
      </c>
      <c r="P83" s="16" t="inlineStr">
        <is>
          <t>IC recon</t>
        </is>
      </c>
      <c r="Q83" s="18" t="inlineStr">
        <is>
          <t>Partial</t>
        </is>
      </c>
    </row>
    <row r="84">
      <c r="A84" s="11" t="inlineStr">
        <is>
          <t>REC-04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 control accounts</t>
        </is>
      </c>
      <c r="E84" s="12" t="inlineStr">
        <is>
          <t>A sub-ledger silently drifts from its GL control account at period-end and no single review catches it (incomplete/inaccurate balances reach the financial statements).</t>
        </is>
      </c>
      <c r="F84" s="12" t="inlineStr">
        <is>
          <t>Completeness/Accuracy</t>
        </is>
      </c>
      <c r="G8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Period / on demand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4" s="12" t="inlineStr">
        <is>
          <t>Inspect the pack: each control account's sub-ledger query + the GL tie + the exceptions roll-up.</t>
        </is>
      </c>
      <c r="O8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4" s="12" t="inlineStr">
        <is>
          <t>Reconciliation pack; exceptions list</t>
        </is>
      </c>
      <c r="Q84" s="19" t="inlineStr">
        <is>
          <t>Implemented</t>
        </is>
      </c>
    </row>
    <row r="85">
      <c r="A85" s="15" t="inlineStr">
        <is>
          <t>GOV-01</t>
        </is>
      </c>
      <c r="B85" s="16" t="inlineStr">
        <is>
          <t>Monitoring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5" s="16" t="inlineStr">
        <is>
          <t>Authorization/Completeness</t>
        </is>
      </c>
      <c r="G85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(FA-09), inventory-write-off (INV-07) and till-close cash over/short (REV-13)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Continuous / pre-close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5" s="16" t="inlineStr">
        <is>
          <t>Inspect the aggregation across all six pending sources + the age/overdue roll-up.</t>
        </is>
      </c>
      <c r="O8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5" s="16" t="inlineStr">
        <is>
          <t>Pending-approvals worklist</t>
        </is>
      </c>
      <c r="Q85" s="19" t="inlineStr">
        <is>
          <t>Implemented</t>
        </is>
      </c>
    </row>
    <row r="86">
      <c r="A86" s="11" t="inlineStr">
        <is>
          <t>TAX-01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(VAT)</t>
        </is>
      </c>
      <c r="E86" s="12" t="inlineStr">
        <is>
          <t>VAT computed incorrectly → filing/penalty risk.</t>
        </is>
      </c>
      <c r="F86" s="12" t="inlineStr">
        <is>
          <t>Accuracy</t>
        </is>
      </c>
      <c r="G86" s="12" t="inlineStr">
        <is>
          <t>VAT via pluggable provider (TH 7%); unit-tested; no hard-coded rate.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</t>
        </is>
      </c>
      <c r="K86" s="12" t="inlineStr">
        <is>
          <t>Tax / Controller</t>
        </is>
      </c>
      <c r="L86" s="13" t="inlineStr">
        <is>
          <t>P10</t>
        </is>
      </c>
      <c r="M86" s="12" t="inlineStr">
        <is>
          <t>tax/tax-providers.ts; tax.service.ts; test/unit.test.ts</t>
        </is>
      </c>
      <c r="N86" s="12" t="inlineStr">
        <is>
          <t>Inspect rate provider + tests.</t>
        </is>
      </c>
      <c r="O86" s="12" t="inlineStr">
        <is>
          <t>Re-perform VAT on sample; tie to return.</t>
        </is>
      </c>
      <c r="P86" s="12" t="inlineStr">
        <is>
          <t>VAT tests</t>
        </is>
      </c>
      <c r="Q86" s="19" t="inlineStr">
        <is>
          <t>Implemented</t>
        </is>
      </c>
    </row>
    <row r="87">
      <c r="A87" s="15" t="inlineStr">
        <is>
          <t>TAX-02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Tax; Revenue</t>
        </is>
      </c>
      <c r="E87" s="16" t="inlineStr">
        <is>
          <t>Non-compliant e-Tax invoice / not transmitted to ETDA.</t>
        </is>
      </c>
      <c r="F87" s="16" t="inlineStr">
        <is>
          <t>Accuracy/Compliance</t>
        </is>
      </c>
      <c r="G87" s="16" t="inlineStr">
        <is>
          <t>e-Tax invoice (ETDA UBL 2.1 XML) generation + email with CC to ETDA timestamp mailbox.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invoice</t>
        </is>
      </c>
      <c r="K87" s="16" t="inlineStr">
        <is>
          <t>Tax</t>
        </is>
      </c>
      <c r="L87" s="17" t="inlineStr">
        <is>
          <t>P10/P13</t>
        </is>
      </c>
      <c r="M87" s="16" t="inlineStr">
        <is>
          <t>tax-docs/etax-xml.ts; etax-email.service.ts (tested)</t>
        </is>
      </c>
      <c r="N87" s="16" t="inlineStr">
        <is>
          <t>Inspect XML schema + email composer.</t>
        </is>
      </c>
      <c r="O87" s="16" t="inlineStr">
        <is>
          <t>Sample invoices: valid XML, correct CC/escaping.</t>
        </is>
      </c>
      <c r="P87" s="16" t="inlineStr">
        <is>
          <t>e-Tax samples</t>
        </is>
      </c>
      <c r="Q87" s="19" t="inlineStr">
        <is>
          <t>Implemented</t>
        </is>
      </c>
    </row>
    <row r="88">
      <c r="A88" s="11" t="inlineStr">
        <is>
          <t>TAX-03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(WHT)</t>
        </is>
      </c>
      <c r="E88" s="12" t="inlineStr">
        <is>
          <t>Withholding tax mis-computed / not reported.</t>
        </is>
      </c>
      <c r="F88" s="12" t="inlineStr">
        <is>
          <t>Accuracy</t>
        </is>
      </c>
      <c r="G88" s="12" t="inlineStr">
        <is>
          <t>WHT computation and ภ.ง.ด.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 / monthly</t>
        </is>
      </c>
      <c r="K88" s="12" t="inlineStr">
        <is>
          <t>Tax</t>
        </is>
      </c>
      <c r="L88" s="13" t="inlineStr">
        <is>
          <t>P10</t>
        </is>
      </c>
      <c r="M88" s="12" t="inlineStr">
        <is>
          <t>tax-reports; payroll</t>
        </is>
      </c>
      <c r="N88" s="12" t="inlineStr">
        <is>
          <t>Inspect WHT logic + report.</t>
        </is>
      </c>
      <c r="O88" s="12" t="inlineStr">
        <is>
          <t>Re-perform WHT on sample; tie to filing.</t>
        </is>
      </c>
      <c r="P88" s="12" t="inlineStr">
        <is>
          <t>WHT report</t>
        </is>
      </c>
      <c r="Q88" s="18" t="inlineStr">
        <is>
          <t>Partial</t>
        </is>
      </c>
    </row>
    <row r="89">
      <c r="A89" s="15" t="inlineStr">
        <is>
          <t>PAY-01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</t>
        </is>
      </c>
      <c r="E89" s="16" t="inlineStr">
        <is>
          <t>Payroll, SSO and PIT mis-computed.</t>
        </is>
      </c>
      <c r="F89" s="16" t="inlineStr">
        <is>
          <t>Accuracy</t>
        </is>
      </c>
      <c r="G89" s="16" t="inlineStr">
        <is>
          <t>Payroll engine — SSO 5% (cap 750), progressive PIT, payslip net; unit-tested.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payroll/payroll-calc.ts; test/unit.test.ts</t>
        </is>
      </c>
      <c r="N89" s="16" t="inlineStr">
        <is>
          <t>Inspect calc + tests.</t>
        </is>
      </c>
      <c r="O89" s="16" t="inlineStr">
        <is>
          <t>Re-perform sample payslips.</t>
        </is>
      </c>
      <c r="P89" s="16" t="inlineStr">
        <is>
          <t>Payslip tests</t>
        </is>
      </c>
      <c r="Q89" s="19" t="inlineStr">
        <is>
          <t>Implemented</t>
        </is>
      </c>
    </row>
    <row r="90">
      <c r="A90" s="11" t="inlineStr">
        <is>
          <t>PAY-02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liability</t>
        </is>
      </c>
      <c r="E90" s="12" t="inlineStr">
        <is>
          <t>Statutory items (PF/OT/leave/ภ.ง.ด.1ก) wrong.</t>
        </is>
      </c>
      <c r="F90" s="12" t="inlineStr">
        <is>
          <t>Accuracy/Compliance</t>
        </is>
      </c>
      <c r="G90" s="12" t="inlineStr">
        <is>
          <t>Provident fund, overtime, leave accrual and ภ.ง.ด.1ก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 / monthly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hcm; payroll (Phase 19)</t>
        </is>
      </c>
      <c r="N90" s="12" t="inlineStr">
        <is>
          <t>Inspect statutory logic.</t>
        </is>
      </c>
      <c r="O90" s="12" t="inlineStr">
        <is>
          <t>Sample run tied to statutory filings.</t>
        </is>
      </c>
      <c r="P90" s="12" t="inlineStr">
        <is>
          <t>Filings</t>
        </is>
      </c>
      <c r="Q90" s="18" t="inlineStr">
        <is>
          <t>Partial</t>
        </is>
      </c>
    </row>
    <row r="91">
      <c r="A91" s="15" t="inlineStr">
        <is>
          <t>PAY-03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expense/liability; Cash</t>
        </is>
      </c>
      <c r="E91" s="16" t="inlineStr">
        <is>
          <t>Payroll run posted to the GL without independent review — the preparer both computes and posts their own payroll (ghost employees, inflated rate/hours).</t>
        </is>
      </c>
      <c r="F91" s="16" t="inlineStr">
        <is>
          <t>Authorization</t>
        </is>
      </c>
      <c r="G9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Payroll; Controller</t>
        </is>
      </c>
      <c r="L91" s="17" t="inlineStr">
        <is>
          <t>P10</t>
        </is>
      </c>
      <c r="M91" s="16" t="inlineStr">
        <is>
          <t>payroll/payroll.service.ts approvePayroll/rejectPayroll; migration 0133</t>
        </is>
      </c>
      <c r="N91" s="16" t="inlineStr">
        <is>
          <t>Inspect Draft→approve flow + the approver≠preparer check.</t>
        </is>
      </c>
      <c r="O91" s="16" t="inlineStr">
        <is>
          <t>Re-perform: run as A, attempt self-approve (SOD_VIOLATION), approve as B; confirm the JE hits balances only after approval.</t>
        </is>
      </c>
      <c r="P91" s="16" t="inlineStr">
        <is>
          <t>Approval log + SoD test</t>
        </is>
      </c>
      <c r="Q91" s="19" t="inlineStr">
        <is>
          <t>Implemented</t>
        </is>
      </c>
    </row>
    <row r="92">
      <c r="A92" s="11" t="inlineStr">
        <is>
          <t>FA-09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Cash</t>
        </is>
      </c>
      <c r="E9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2" s="12" t="inlineStr">
        <is>
          <t>Authorization</t>
        </is>
      </c>
      <c r="G9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disposal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2" s="12" t="inlineStr">
        <is>
          <t>Inspect Draft→approve flow + the approver≠requester check + deferred status/recycle.</t>
        </is>
      </c>
      <c r="O9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2" s="12" t="inlineStr">
        <is>
          <t>Disposal approval log + SoD test</t>
        </is>
      </c>
      <c r="Q92" s="19" t="inlineStr">
        <is>
          <t>Implemented</t>
        </is>
      </c>
    </row>
    <row r="93">
      <c r="A93" s="15" t="inlineStr">
        <is>
          <t>FA-10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Accounts Payable</t>
        </is>
      </c>
      <c r="E9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3" s="16" t="inlineStr">
        <is>
          <t>Authorization; Accuracy</t>
        </is>
      </c>
      <c r="G9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capital receipt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3" s="16" t="inlineStr">
        <is>
          <t>Inspect the eligible→request→approve flow + approver≠requester check + the inventory-vs-asset routing of capital lines.</t>
        </is>
      </c>
      <c r="O9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3" s="16" t="inlineStr">
        <is>
          <t>Capitalization approval log + SoD test</t>
        </is>
      </c>
      <c r="Q93" s="19" t="inlineStr">
        <is>
          <t>Implemented</t>
        </is>
      </c>
    </row>
    <row r="94">
      <c r="A94" s="11" t="inlineStr">
        <is>
          <t>CON-01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Consolidation</t>
        </is>
      </c>
      <c r="E94" s="12" t="inlineStr">
        <is>
          <t>Group consolidation mis-stated (ownership/currency).</t>
        </is>
      </c>
      <c r="F94" s="12" t="inlineStr">
        <is>
          <t>Accuracy</t>
        </is>
      </c>
      <c r="G94" s="12" t="inlineStr">
        <is>
          <t>Consolidation run (ownership %, entity currency) gated by 'approvals'.</t>
        </is>
      </c>
      <c r="H94" s="13" t="inlineStr">
        <is>
          <t>Auto+Manual</t>
        </is>
      </c>
      <c r="I94" s="13" t="inlineStr">
        <is>
          <t>Period</t>
        </is>
      </c>
      <c r="J94" s="13" t="inlineStr">
        <is>
          <t>Period</t>
        </is>
      </c>
      <c r="K94" s="12" t="inlineStr">
        <is>
          <t>Group Controller</t>
        </is>
      </c>
      <c r="L94" s="13" t="inlineStr">
        <is>
          <t>P10</t>
        </is>
      </c>
      <c r="M94" s="12" t="inlineStr">
        <is>
          <t>consolidation.service.ts (runConsolidation @Permissions approvals)</t>
        </is>
      </c>
      <c r="N94" s="12" t="inlineStr">
        <is>
          <t>Inspect consolidation logic + gate.</t>
        </is>
      </c>
      <c r="O94" s="12" t="inlineStr">
        <is>
          <t>Sample period: consolidated TB ties to entities.</t>
        </is>
      </c>
      <c r="P94" s="12" t="inlineStr">
        <is>
          <t>Consol TB</t>
        </is>
      </c>
      <c r="Q94" s="19" t="inlineStr">
        <is>
          <t>Implemented</t>
        </is>
      </c>
    </row>
    <row r="95">
      <c r="A95" s="15" t="inlineStr">
        <is>
          <t>CON-02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FX gain/loss</t>
        </is>
      </c>
      <c r="E95" s="16" t="inlineStr">
        <is>
          <t>FX exposures not revalued at period-end.</t>
        </is>
      </c>
      <c r="F95" s="16" t="inlineStr">
        <is>
          <t>Valuation</t>
        </is>
      </c>
      <c r="G95" s="16" t="inlineStr">
        <is>
          <t>FX revaluation at period-end rates; unrealized FX posted (acct 5400).</t>
        </is>
      </c>
      <c r="H95" s="17" t="inlineStr">
        <is>
          <t>Auto+Manual</t>
        </is>
      </c>
      <c r="I95" s="17" t="inlineStr">
        <is>
          <t>Period-end</t>
        </is>
      </c>
      <c r="J95" s="17" t="inlineStr">
        <is>
          <t>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fx.service.ts (revalue / unrealized report)</t>
        </is>
      </c>
      <c r="N95" s="16" t="inlineStr">
        <is>
          <t>Inspect reval logic + rates.</t>
        </is>
      </c>
      <c r="O95" s="16" t="inlineStr">
        <is>
          <t>Recompute reval on sample balances.</t>
        </is>
      </c>
      <c r="P95" s="16" t="inlineStr">
        <is>
          <t>FX reval JE</t>
        </is>
      </c>
      <c r="Q95" s="19" t="inlineStr">
        <is>
          <t>Implemented</t>
        </is>
      </c>
    </row>
  </sheetData>
  <autoFilter ref="A1:Q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COUNTIF(RCM!$Q$2:$Q$95,B5)</f>
        <v/>
      </c>
    </row>
    <row r="6">
      <c r="B6" s="30" t="inlineStr">
        <is>
          <t>Partial</t>
        </is>
      </c>
      <c r="C6" s="29">
        <f>COUNTIF(RCM!$Q$2:$Q$95,B6)</f>
        <v/>
      </c>
    </row>
    <row r="7">
      <c r="B7" s="31" t="inlineStr">
        <is>
          <t>Gap</t>
        </is>
      </c>
      <c r="C7" s="29">
        <f>COUNTIF(RCM!$Q$2:$Q$95,B7)</f>
        <v/>
      </c>
    </row>
    <row r="8">
      <c r="B8" s="32" t="inlineStr">
        <is>
          <t>Total</t>
        </is>
      </c>
      <c r="C8" s="32">
        <f>COUNTA(RCM!$A$2:$A$95)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COUNTIF(RCM!$C$2:$C$95,B11)</f>
        <v/>
      </c>
    </row>
    <row r="12">
      <c r="B12" s="29" t="inlineStr">
        <is>
          <t>ITGC</t>
        </is>
      </c>
      <c r="C12" s="29">
        <f>COUNTIF(RCM!$C$2:$C$95,B12)</f>
        <v/>
      </c>
    </row>
    <row r="13">
      <c r="B13" s="29" t="inlineStr">
        <is>
          <t>Application</t>
        </is>
      </c>
      <c r="C13" s="29">
        <f>COUNTIF(RCM!$C$2:$C$95,B13)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2026-06-26T03:37:45Z</dcterms:created>
  <dcterms:modified xmlns:dcterms="http://purl.org/dc/terms/" xmlns:xsi="http://www.w3.org/2001/XMLSchema-instance" xsi:type="dcterms:W3CDTF">2026-06-26T03:37:45Z</dcterms:modified>
</cp:coreProperties>
</file>