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2E5C8A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color rgb="00606060"/>
      <sz val="9"/>
    </font>
    <font>
      <name val="Arial"/>
      <b val="1"/>
      <color rgb="001F4E78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6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1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2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9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2" borderId="1" applyAlignment="1" pivotButton="0" quotePrefix="0" xfId="0">
      <alignment vertical="top" wrapText="1"/>
    </xf>
    <xf numFmtId="0" fontId="8" fillId="0" borderId="1" pivotButton="0" quotePrefix="0" xfId="0"/>
    <xf numFmtId="3" fontId="0" fillId="0" borderId="1" pivotButton="0" quotePrefix="0" xfId="0"/>
    <xf numFmtId="9" fontId="0" fillId="4" borderId="1" pivotButton="0" quotePrefix="0" xfId="0"/>
    <xf numFmtId="9" fontId="0" fillId="5" borderId="1" pivotButton="0" quotePrefix="0" xfId="0"/>
    <xf numFmtId="0" fontId="4" fillId="0" borderId="1" pivotButton="0" quotePrefix="0" xfId="0"/>
    <xf numFmtId="0" fontId="6" fillId="0" borderId="0" pivotButton="0" quotePrefix="0" xfId="0"/>
    <xf numFmtId="166" fontId="5" fillId="3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62" customWidth="1" min="3" max="3"/>
  </cols>
  <sheetData>
    <row r="1">
      <c r="A1" s="1" t="inlineStr">
        <is>
          <t>Unit-economics assumptions (ILLUSTRATIVE — replace with real data)</t>
        </is>
      </c>
    </row>
    <row r="2">
      <c r="A2" s="2" t="inlineStr">
        <is>
          <t>Overwrite column B; the Model sheet recomputes. THB unless noted.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4" t="inlineStr">
        <is>
          <t>FX rate (THB per USD)</t>
        </is>
      </c>
      <c r="B4" s="5" t="n">
        <v>35</v>
      </c>
      <c r="C4" s="6" t="inlineStr">
        <is>
          <t>set to current</t>
        </is>
      </c>
    </row>
    <row r="5">
      <c r="A5" s="4" t="inlineStr">
        <is>
          <t>Anthropic blended token cost (USD / 1M tokens)</t>
        </is>
      </c>
      <c r="B5" s="7" t="n">
        <v>4</v>
      </c>
      <c r="C5" s="6" t="inlineStr">
        <is>
          <t>Sonnet-reasoning + Haiku-relay mix w/ prompt caching; ai-models.ts tiering</t>
        </is>
      </c>
    </row>
    <row r="6">
      <c r="A6" s="4" t="inlineStr">
        <is>
          <t>Token cost (THB / 1k tokens)</t>
        </is>
      </c>
      <c r="B6" s="8">
        <f>B5/1000*B4</f>
        <v/>
      </c>
      <c r="C6" s="6" t="inlineStr">
        <is>
          <t>derived = USD/1M ÷ 1000 × FX</t>
        </is>
      </c>
    </row>
    <row r="7">
      <c r="A7" s="4" t="inlineStr">
        <is>
          <t>Infra base (THB / mo, platform)</t>
        </is>
      </c>
      <c r="B7" s="9" t="n">
        <v>52500</v>
      </c>
      <c r="C7" s="6" t="inlineStr">
        <is>
          <t>≈ $1,500/mo Alibaba Cloud Bangkok, lean</t>
        </is>
      </c>
    </row>
    <row r="8">
      <c r="A8" s="4" t="inlineStr">
        <is>
          <t>Paying tenants</t>
        </is>
      </c>
      <c r="B8" s="5" t="n">
        <v>50</v>
      </c>
      <c r="C8" s="6" t="inlineStr">
        <is>
          <t>replace with live count</t>
        </is>
      </c>
    </row>
    <row r="9">
      <c r="A9" s="4" t="inlineStr">
        <is>
          <t>Infra allocation (THB / tenant / mo)</t>
        </is>
      </c>
      <c r="B9" s="9">
        <f>B7/B8</f>
        <v/>
      </c>
      <c r="C9" s="6" t="inlineStr">
        <is>
          <t>derived = infra base ÷ tenants (falls as tenants grow)</t>
        </is>
      </c>
    </row>
    <row r="10">
      <c r="A10" s="4" t="inlineStr">
        <is>
          <t>Starter price (THB / mo)</t>
        </is>
      </c>
      <c r="B10" s="9" t="n">
        <v>990</v>
      </c>
      <c r="C10" s="6" t="inlineStr">
        <is>
          <t>billing PLAN_SEED</t>
        </is>
      </c>
    </row>
    <row r="11">
      <c r="A11" s="4" t="inlineStr">
        <is>
          <t>Pro price (THB / mo)</t>
        </is>
      </c>
      <c r="B11" s="9" t="n">
        <v>2900</v>
      </c>
      <c r="C11" s="6" t="inlineStr">
        <is>
          <t>billing PLAN_SEED</t>
        </is>
      </c>
    </row>
    <row r="12">
      <c r="A12" s="4" t="inlineStr">
        <is>
          <t>Enterprise ARPU (THB / mo)</t>
        </is>
      </c>
      <c r="B12" s="9" t="n">
        <v>15000</v>
      </c>
      <c r="C12" s="6" t="inlineStr">
        <is>
          <t>custom-priced; illustrative</t>
        </is>
      </c>
    </row>
    <row r="13">
      <c r="A13" s="4" t="inlineStr">
        <is>
          <t>Pro avg AI usage (tokens / day)</t>
        </is>
      </c>
      <c r="B13" s="9" t="n">
        <v>60000</v>
      </c>
      <c r="C13" s="6" t="inlineStr">
        <is>
          <t>30% of 200k included; replace w/ ai_token_usage actuals</t>
        </is>
      </c>
    </row>
    <row r="14">
      <c r="A14" s="4" t="inlineStr">
        <is>
          <t>Enterprise avg AI usage (tokens / day)</t>
        </is>
      </c>
      <c r="B14" s="9" t="n">
        <v>600000</v>
      </c>
      <c r="C14" s="6" t="inlineStr">
        <is>
          <t>30% of 2M included; replace w/ ai_token_usage actuals</t>
        </is>
      </c>
    </row>
    <row r="15">
      <c r="A15" s="4" t="inlineStr">
        <is>
          <t>Plan mix — Starter</t>
        </is>
      </c>
      <c r="B15" s="10" t="n">
        <v>0.2</v>
      </c>
      <c r="C15" s="6" t="inlineStr">
        <is>
          <t>share of paying tenants</t>
        </is>
      </c>
    </row>
    <row r="16">
      <c r="A16" s="4" t="inlineStr">
        <is>
          <t>Plan mix — Pro</t>
        </is>
      </c>
      <c r="B16" s="10" t="n">
        <v>0.7</v>
      </c>
      <c r="C16" s="6" t="inlineStr">
        <is>
          <t>share of paying tenants</t>
        </is>
      </c>
    </row>
    <row r="17">
      <c r="A17" s="4" t="inlineStr">
        <is>
          <t>Plan mix — Enterprise</t>
        </is>
      </c>
      <c r="B17" s="10" t="n">
        <v>0.1</v>
      </c>
      <c r="C17" s="6" t="inlineStr">
        <is>
          <t>share of paying tenants</t>
        </is>
      </c>
    </row>
    <row r="18">
      <c r="A18" s="4" t="inlineStr">
        <is>
          <t>Blended CAC (THB)</t>
        </is>
      </c>
      <c r="B18" s="9" t="n">
        <v>4500</v>
      </c>
      <c r="C18" s="6" t="inlineStr">
        <is>
          <t>self-serve + light sales; illustrative</t>
        </is>
      </c>
    </row>
    <row r="19">
      <c r="A19" s="4" t="inlineStr">
        <is>
          <t>Monthly logo churn</t>
        </is>
      </c>
      <c r="B19" s="11" t="n">
        <v>0.03</v>
      </c>
      <c r="C19" s="6" t="inlineStr">
        <is>
          <t>illustrative SMB; saas-metrics churn.churn_rate_30d_pct</t>
        </is>
      </c>
    </row>
    <row r="20">
      <c r="A20" s="4" t="inlineStr">
        <is>
          <t>Target gross margin</t>
        </is>
      </c>
      <c r="B20" s="10" t="n">
        <v>0.75</v>
      </c>
      <c r="C20" s="6" t="inlineStr">
        <is>
          <t>guardrail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Unit economics — computed (live formulas)</t>
        </is>
      </c>
    </row>
    <row r="3">
      <c r="A3" s="12" t="inlineStr">
        <is>
          <t>Per-plan economics</t>
        </is>
      </c>
    </row>
    <row r="4">
      <c r="A4" s="13" t="inlineStr">
        <is>
          <t>Plan</t>
        </is>
      </c>
      <c r="B4" s="13" t="inlineStr">
        <is>
          <t>Price/mo</t>
        </is>
      </c>
      <c r="C4" s="13" t="inlineStr">
        <is>
          <t>AI COGS/mo</t>
        </is>
      </c>
      <c r="D4" s="13" t="inlineStr">
        <is>
          <t>Infra alloc</t>
        </is>
      </c>
      <c r="E4" s="13" t="inlineStr">
        <is>
          <t>Total COGS</t>
        </is>
      </c>
      <c r="F4" s="13" t="inlineStr">
        <is>
          <t>Gross profit</t>
        </is>
      </c>
      <c r="G4" s="13" t="inlineStr">
        <is>
          <t>Gross margin</t>
        </is>
      </c>
    </row>
    <row r="5">
      <c r="A5" s="14" t="inlineStr">
        <is>
          <t>Starter</t>
        </is>
      </c>
      <c r="B5" s="15">
        <f>Assumptions!$B$10</f>
        <v/>
      </c>
      <c r="C5" s="15" t="n">
        <v>0</v>
      </c>
      <c r="D5" s="15">
        <f>Assumptions!$B$9</f>
        <v/>
      </c>
      <c r="E5" s="15">
        <f>C5+D5</f>
        <v/>
      </c>
      <c r="F5" s="15">
        <f>B5-E5</f>
        <v/>
      </c>
      <c r="G5" s="16">
        <f>IF(B5=0,0,F5/B5)</f>
        <v/>
      </c>
    </row>
    <row r="6">
      <c r="A6" s="14" t="inlineStr">
        <is>
          <t>Pro</t>
        </is>
      </c>
      <c r="B6" s="15">
        <f>Assumptions!$B$11</f>
        <v/>
      </c>
      <c r="C6" s="15">
        <f>Assumptions!$B$13*30/1000*Assumptions!$B$6</f>
        <v/>
      </c>
      <c r="D6" s="15">
        <f>Assumptions!$B$9</f>
        <v/>
      </c>
      <c r="E6" s="15">
        <f>C6+D6</f>
        <v/>
      </c>
      <c r="F6" s="15">
        <f>B6-E6</f>
        <v/>
      </c>
      <c r="G6" s="17">
        <f>IF(B6=0,0,F6/B6)</f>
        <v/>
      </c>
    </row>
    <row r="7">
      <c r="A7" s="14" t="inlineStr">
        <is>
          <t>Enterprise</t>
        </is>
      </c>
      <c r="B7" s="15">
        <f>Assumptions!$B$12</f>
        <v/>
      </c>
      <c r="C7" s="15">
        <f>Assumptions!$B$14*30/1000*Assumptions!$B$6</f>
        <v/>
      </c>
      <c r="D7" s="15">
        <f>Assumptions!$B$9</f>
        <v/>
      </c>
      <c r="E7" s="15">
        <f>C7+D7</f>
        <v/>
      </c>
      <c r="F7" s="15">
        <f>B7-E7</f>
        <v/>
      </c>
      <c r="G7" s="17">
        <f>IF(B7=0,0,F7/B7)</f>
        <v/>
      </c>
    </row>
    <row r="10">
      <c r="A10" s="12" t="inlineStr">
        <is>
          <t>Blended SaaS metrics</t>
        </is>
      </c>
    </row>
    <row r="11">
      <c r="A11" s="18" t="inlineStr">
        <is>
          <t>Blended ARPU (THB/mo)</t>
        </is>
      </c>
      <c r="B11" s="9">
        <f>Assumptions!$B$15*Assumptions!$B$10+Assumptions!$B$16*Assumptions!$B$11+Assumptions!$B$17*Assumptions!$B$12</f>
        <v/>
      </c>
      <c r="C11" s="19" t="inlineStr">
        <is>
          <t>Σ(mix×price); saas-metrics revenue.arpu</t>
        </is>
      </c>
    </row>
    <row r="12">
      <c r="A12" s="18" t="inlineStr">
        <is>
          <t>MRR (THB)</t>
        </is>
      </c>
      <c r="B12" s="9">
        <f>B11*Assumptions!$B$8</f>
        <v/>
      </c>
      <c r="C12" s="19" t="inlineStr">
        <is>
          <t>ARPU × paying tenants; saas-metrics revenue.mrr</t>
        </is>
      </c>
    </row>
    <row r="13">
      <c r="A13" s="18" t="inlineStr">
        <is>
          <t>ARR (THB)</t>
        </is>
      </c>
      <c r="B13" s="9">
        <f>B12*12</f>
        <v/>
      </c>
      <c r="C13" s="19" t="inlineStr">
        <is>
          <t>MRR × 12; saas-metrics revenue.arr</t>
        </is>
      </c>
    </row>
    <row r="14">
      <c r="A14" s="18" t="inlineStr">
        <is>
          <t>Blended COGS / tenant (THB/mo)</t>
        </is>
      </c>
      <c r="B14" s="9">
        <f>Assumptions!$B$15*(Assumptions!$B$9)+Assumptions!$B$16*(C6+Assumptions!$B$9)+Assumptions!$B$17*(C7+Assumptions!$B$9)</f>
        <v/>
      </c>
      <c r="C14" s="19" t="inlineStr">
        <is>
          <t>mix-weighted infra + AI COGS</t>
        </is>
      </c>
    </row>
    <row r="15">
      <c r="A15" s="18" t="inlineStr">
        <is>
          <t>Blended gross margin</t>
        </is>
      </c>
      <c r="B15" s="10">
        <f>(B11-B14)/B11</f>
        <v/>
      </c>
      <c r="C15" s="19" t="inlineStr">
        <is>
          <t>(ARPU − blended COGS) / ARPU</t>
        </is>
      </c>
    </row>
    <row r="16">
      <c r="A16" s="18" t="inlineStr">
        <is>
          <t>CAC payback (months)</t>
        </is>
      </c>
      <c r="B16" s="20">
        <f>Assumptions!$B$18/(B11*B15)</f>
        <v/>
      </c>
      <c r="C16" s="19" t="inlineStr">
        <is>
          <t>CAC / (ARPU × GM)</t>
        </is>
      </c>
    </row>
    <row r="17">
      <c r="A17" s="18" t="inlineStr">
        <is>
          <t>LTV (THB)</t>
        </is>
      </c>
      <c r="B17" s="9">
        <f>(B11*B15)/Assumptions!$B$19</f>
        <v/>
      </c>
      <c r="C17" s="19" t="inlineStr">
        <is>
          <t>(ARPU × GM) / monthly churn</t>
        </is>
      </c>
    </row>
    <row r="18">
      <c r="A18" s="18" t="inlineStr">
        <is>
          <t>LTV : CAC</t>
        </is>
      </c>
      <c r="B18" s="20">
        <f>B17/Assumptions!$B$18</f>
        <v/>
      </c>
      <c r="C18" s="19" t="inlineStr">
        <is>
          <t>LTV / CAC (≥3 healthy)</t>
        </is>
      </c>
    </row>
    <row r="20">
      <c r="A20" s="21" t="inlineStr">
        <is>
          <t>Guardrail: no unlimited AI tier (finite ai_tokens_daily_max per plan); overage above the included cap is billed (ai_overage_rate_thb_per_1k); off-Opus tiering keeps blended token COGS ~0.14 THB/1k. Watch Starter — margin-negative on infra allocation until tenant count amortizes the base.</t>
        </is>
      </c>
    </row>
    <row r="21"/>
    <row r="22"/>
  </sheetData>
  <mergeCells count="10">
    <mergeCell ref="A1:G1"/>
    <mergeCell ref="C12:G12"/>
    <mergeCell ref="C16:G16"/>
    <mergeCell ref="C15:G15"/>
    <mergeCell ref="C11:G11"/>
    <mergeCell ref="C14:G14"/>
    <mergeCell ref="A20:G22"/>
    <mergeCell ref="C13:G13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2026-06-30T06:21:59Z</dcterms:created>
  <dcterms:modified xmlns:dcterms="http://purl.org/dc/terms/" xmlns:xsi="http://www.w3.org/2001/XMLSchema-instance" xsi:type="dcterms:W3CDTF">2026-06-30T06:21:59Z</dcterms:modified>
</cp:coreProperties>
</file>