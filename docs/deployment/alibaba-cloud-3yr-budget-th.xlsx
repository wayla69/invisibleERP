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มมติฐาน" sheetId="1" state="visible" r:id="rId1"/>
    <sheet xmlns:r="http://schemas.openxmlformats.org/officeDocument/2006/relationships" name="แผนงบประมาณ 3 ปี" sheetId="2" state="visible" r:id="rId2"/>
    <sheet xmlns:r="http://schemas.openxmlformats.org/officeDocument/2006/relationships" name="หมายเหต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;(&quot;$&quot;#,##0);&quot;-&quot;"/>
    <numFmt numFmtId="166" formatCode="&quot;$&quot;#,##0.0;(&quot;$&quot;#,##0.0);&quot;-&quot;"/>
    <numFmt numFmtId="167" formatCode="&quot;฿&quot;#,##0;(&quot;฿&quot;#,##0);&quot;-&quot;"/>
  </numFmts>
  <fonts count="9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b val="1"/>
      <color rgb="00FFFFFF"/>
      <sz val="11"/>
    </font>
    <font>
      <name val="Tahoma"/>
      <color rgb="00000000"/>
      <sz val="10"/>
    </font>
    <font>
      <name val="Tahoma"/>
      <color rgb="000000FF"/>
      <sz val="10"/>
    </font>
    <font>
      <name val="Tahoma"/>
      <b val="1"/>
      <color rgb="00000000"/>
      <sz val="10"/>
    </font>
    <font>
      <name val="Tahoma"/>
      <color rgb="00808080"/>
      <sz val="9"/>
    </font>
    <font>
      <name val="Tahoma"/>
      <b val="1"/>
      <color rgb="00FFFFFF"/>
      <sz val="10"/>
    </font>
    <font>
      <name val="Tahoma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165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65" fontId="5" fillId="5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สมมติฐานและตัวแปรปรับได้  (Assumptions &amp; Knobs) — Alibaba Cloud</t>
        </is>
      </c>
    </row>
    <row r="3">
      <c r="A3" s="2" t="inlineStr">
        <is>
          <t>1) ตัวแปรหลัก (ปรับได้ — พื้นเหลือง)</t>
        </is>
      </c>
      <c r="B3" s="3" t="n"/>
      <c r="C3" s="3" t="n"/>
      <c r="D3" s="4" t="n"/>
    </row>
    <row r="4">
      <c r="A4" s="5" t="inlineStr">
        <is>
          <t>อัตราแลกเปลี่ยน  USD → THB</t>
        </is>
      </c>
      <c r="B4" s="6" t="n">
        <v>36</v>
      </c>
    </row>
    <row r="5">
      <c r="A5" s="5" t="inlineStr">
        <is>
          <t>ส่วนลดจ่ายล่วงหน้าแบบ Subscription 3 ปี (ใช้กับ ECS/RDS)</t>
        </is>
      </c>
      <c r="B5" s="7" t="n">
        <v>0.45</v>
      </c>
    </row>
    <row r="7">
      <c r="A7" s="2" t="inlineStr">
        <is>
          <t>2) ค่าบริการรายเดือน (USD) — ราคา PAYG ก่อนส่วนลด</t>
        </is>
      </c>
      <c r="B7" s="3" t="n"/>
      <c r="C7" s="3" t="n"/>
      <c r="D7" s="4" t="n"/>
    </row>
    <row r="8">
      <c r="A8" s="8" t="inlineStr">
        <is>
          <t>รายการ (Item)</t>
        </is>
      </c>
      <c r="B8" s="8" t="inlineStr">
        <is>
          <t>ราคา PAYG/เดือน (USD)</t>
        </is>
      </c>
      <c r="C8" s="8" t="inlineStr">
        <is>
          <t>ใช้ส่วนลด? (1=ใช่,0=ไม่)</t>
        </is>
      </c>
      <c r="D8" s="8" t="inlineStr">
        <is>
          <t>ราคาหลังส่วนลด/เดือน (USD)</t>
        </is>
      </c>
    </row>
    <row r="9">
      <c r="A9" s="5" t="inlineStr">
        <is>
          <t>ECS app node หลัก (4 vCPU / 16 GB)</t>
        </is>
      </c>
      <c r="B9" s="9" t="n">
        <v>95</v>
      </c>
      <c r="C9" s="10" t="n">
        <v>1</v>
      </c>
      <c r="D9" s="11">
        <f>B9*(1-IF(C9=1,$B$5,0))</f>
        <v/>
      </c>
    </row>
    <row r="10">
      <c r="A10" s="5" t="inlineStr">
        <is>
          <t>ECS app node เพิ่ม (burstable 2c4g)</t>
        </is>
      </c>
      <c r="B10" s="9" t="n">
        <v>35</v>
      </c>
      <c r="C10" s="10" t="n">
        <v>1</v>
      </c>
      <c r="D10" s="11">
        <f>B10*(1-IF(C10=1,$B$5,0))</f>
        <v/>
      </c>
    </row>
    <row r="11">
      <c r="A11" s="5" t="inlineStr">
        <is>
          <t>ApsaraDB RDS for PostgreSQL (HA)</t>
        </is>
      </c>
      <c r="B11" s="9" t="n">
        <v>140</v>
      </c>
      <c r="C11" s="10" t="n">
        <v>1</v>
      </c>
      <c r="D11" s="11">
        <f>B11*(1-IF(C11=1,$B$5,0))</f>
        <v/>
      </c>
    </row>
    <row r="12">
      <c r="A12" s="5" t="inlineStr">
        <is>
          <t>Read replica (อ่านอย่างเดียว)</t>
        </is>
      </c>
      <c r="B12" s="9" t="n">
        <v>70</v>
      </c>
      <c r="C12" s="10" t="n">
        <v>1</v>
      </c>
      <c r="D12" s="11">
        <f>B12*(1-IF(C12=1,$B$5,0))</f>
        <v/>
      </c>
    </row>
    <row r="13">
      <c r="A13" s="5" t="inlineStr">
        <is>
          <t>SLB / ALB (โหลดบาลานเซอร์)</t>
        </is>
      </c>
      <c r="B13" s="9" t="n">
        <v>22</v>
      </c>
      <c r="C13" s="10" t="n">
        <v>0</v>
      </c>
      <c r="D13" s="11">
        <f>B13*(1-IF(C13=1,$B$5,0))</f>
        <v/>
      </c>
    </row>
    <row r="14">
      <c r="A14" s="5" t="inlineStr">
        <is>
          <t>OSS + Snapshots + Backup</t>
        </is>
      </c>
      <c r="B14" s="9" t="n">
        <v>14</v>
      </c>
      <c r="C14" s="10" t="n">
        <v>0</v>
      </c>
      <c r="D14" s="11">
        <f>B14*(1-IF(C14=1,$B$5,0))</f>
        <v/>
      </c>
    </row>
    <row r="15">
      <c r="A15" s="5" t="inlineStr">
        <is>
          <t>Bandwidth / EIP (อินเทอร์เน็ต)</t>
        </is>
      </c>
      <c r="B15" s="9" t="n">
        <v>30</v>
      </c>
      <c r="C15" s="10" t="n">
        <v>0</v>
      </c>
      <c r="D15" s="11">
        <f>B15*(1-IF(C15=1,$B$5,0))</f>
        <v/>
      </c>
    </row>
    <row r="16">
      <c r="A16" s="5" t="inlineStr">
        <is>
          <t>DNS + Container Registry + อื่นๆ</t>
        </is>
      </c>
      <c r="B16" s="9" t="n">
        <v>8</v>
      </c>
      <c r="C16" s="10" t="n">
        <v>0</v>
      </c>
      <c r="D16" s="11">
        <f>B16*(1-IF(C16=1,$B$5,0))</f>
        <v/>
      </c>
    </row>
    <row r="17">
      <c r="A17" s="5" t="inlineStr">
        <is>
          <t>WAF (ตัวเลือก)</t>
        </is>
      </c>
      <c r="B17" s="9" t="n">
        <v>25</v>
      </c>
      <c r="C17" s="10" t="n">
        <v>0</v>
      </c>
      <c r="D17" s="11">
        <f>B17*(1-IF(C17=1,$B$5,0))</f>
        <v/>
      </c>
    </row>
    <row r="19">
      <c r="A19" s="2" t="inlineStr">
        <is>
          <t>3) Dedicated tenant (สแตคแยกต่อ 1 องค์กรขนาดใหญ่)</t>
        </is>
      </c>
      <c r="B19" s="3" t="n"/>
      <c r="C19" s="3" t="n"/>
      <c r="D19" s="4" t="n"/>
    </row>
    <row r="20">
      <c r="A20" s="5" t="inlineStr">
        <is>
          <t>ค่าใช้จ่ายต่อราย/เดือน (USD, หลังส่วนลดโดยประมาณ)</t>
        </is>
      </c>
      <c r="B20" s="9" t="n">
        <v>450</v>
      </c>
    </row>
    <row r="21">
      <c r="A21" s="5" t="inlineStr">
        <is>
          <t>จำนวน Dedicated — ปีที่ 1</t>
        </is>
      </c>
      <c r="B21" s="12" t="n">
        <v>0</v>
      </c>
    </row>
    <row r="22">
      <c r="A22" s="5" t="inlineStr">
        <is>
          <t>จำนวน Dedicated — ปีที่ 2</t>
        </is>
      </c>
      <c r="B22" s="12" t="n">
        <v>0</v>
      </c>
    </row>
    <row r="23">
      <c r="A23" s="5" t="inlineStr">
        <is>
          <t>จำนวน Dedicated — ปีที่ 3</t>
        </is>
      </c>
      <c r="B23" s="12" t="n">
        <v>1</v>
      </c>
    </row>
  </sheetData>
  <mergeCells count="4">
    <mergeCell ref="A1:D1"/>
    <mergeCell ref="A7:D7"/>
    <mergeCell ref="A3:D3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แผนงบประมาณ 3 ปี — Alibaba Cloud (เริ่มลีน แล้วค่อยขยาย)</t>
        </is>
      </c>
    </row>
    <row r="2">
      <c r="A2" s="13" t="inlineStr">
        <is>
          <t>ปีที่1 = Tier 0 (เครื่องเดียว, Postgres จัดการเอง) · ปีที่2 = Tier 1 (แยก RDS HA) · ปีที่3 = Tier 2 (HA + replica + dedicated)</t>
        </is>
      </c>
    </row>
    <row r="4">
      <c r="A4" s="14" t="inlineStr">
        <is>
          <t>รายการ (Item)</t>
        </is>
      </c>
      <c r="B4" s="14" t="inlineStr">
        <is>
          <t>ราคา/หน่วย/เดือน (USD)</t>
        </is>
      </c>
      <c r="C4" s="14" t="inlineStr">
        <is>
          <t>จำนวน ปีที่ 1</t>
        </is>
      </c>
      <c r="D4" s="14" t="inlineStr">
        <is>
          <t>จำนวน ปีที่ 2</t>
        </is>
      </c>
      <c r="E4" s="14" t="inlineStr">
        <is>
          <t>จำนวน ปีที่ 3</t>
        </is>
      </c>
      <c r="F4" s="14" t="inlineStr">
        <is>
          <t>ปีที่ 1 (USD/ปี)</t>
        </is>
      </c>
      <c r="G4" s="14" t="inlineStr">
        <is>
          <t>ปีที่ 2 (USD/ปี)</t>
        </is>
      </c>
      <c r="H4" s="14" t="inlineStr">
        <is>
          <t>ปีที่ 3 (USD/ปี)</t>
        </is>
      </c>
    </row>
    <row r="5">
      <c r="A5" s="5" t="inlineStr">
        <is>
          <t>ECS app node หลัก</t>
        </is>
      </c>
      <c r="B5" s="15">
        <f>'สมมติฐาน'!D9</f>
        <v/>
      </c>
      <c r="C5" s="10" t="n">
        <v>1</v>
      </c>
      <c r="D5" s="10" t="n">
        <v>1</v>
      </c>
      <c r="E5" s="10" t="n">
        <v>1</v>
      </c>
      <c r="F5" s="16">
        <f>B5*C5*12</f>
        <v/>
      </c>
      <c r="G5" s="16">
        <f>B5*D5*12</f>
        <v/>
      </c>
      <c r="H5" s="16">
        <f>B5*E5*12</f>
        <v/>
      </c>
    </row>
    <row r="6">
      <c r="A6" s="5" t="inlineStr">
        <is>
          <t>ECS app node เพิ่ม</t>
        </is>
      </c>
      <c r="B6" s="15">
        <f>'สมมติฐาน'!D10</f>
        <v/>
      </c>
      <c r="C6" s="10" t="n">
        <v>0</v>
      </c>
      <c r="D6" s="10" t="n">
        <v>1</v>
      </c>
      <c r="E6" s="10" t="n">
        <v>1</v>
      </c>
      <c r="F6" s="16">
        <f>B6*C6*12</f>
        <v/>
      </c>
      <c r="G6" s="16">
        <f>B6*D6*12</f>
        <v/>
      </c>
      <c r="H6" s="16">
        <f>B6*E6*12</f>
        <v/>
      </c>
    </row>
    <row r="7">
      <c r="A7" s="5" t="inlineStr">
        <is>
          <t>ApsaraDB RDS PostgreSQL (HA)</t>
        </is>
      </c>
      <c r="B7" s="15">
        <f>'สมมติฐาน'!D11</f>
        <v/>
      </c>
      <c r="C7" s="10" t="n">
        <v>0</v>
      </c>
      <c r="D7" s="10" t="n">
        <v>1</v>
      </c>
      <c r="E7" s="10" t="n">
        <v>1</v>
      </c>
      <c r="F7" s="16">
        <f>B7*C7*12</f>
        <v/>
      </c>
      <c r="G7" s="16">
        <f>B7*D7*12</f>
        <v/>
      </c>
      <c r="H7" s="16">
        <f>B7*E7*12</f>
        <v/>
      </c>
    </row>
    <row r="8">
      <c r="A8" s="5" t="inlineStr">
        <is>
          <t>Read replica</t>
        </is>
      </c>
      <c r="B8" s="15">
        <f>'สมมติฐาน'!D12</f>
        <v/>
      </c>
      <c r="C8" s="10" t="n">
        <v>0</v>
      </c>
      <c r="D8" s="10" t="n">
        <v>0</v>
      </c>
      <c r="E8" s="10" t="n">
        <v>1</v>
      </c>
      <c r="F8" s="16">
        <f>B8*C8*12</f>
        <v/>
      </c>
      <c r="G8" s="16">
        <f>B8*D8*12</f>
        <v/>
      </c>
      <c r="H8" s="16">
        <f>B8*E8*12</f>
        <v/>
      </c>
    </row>
    <row r="9">
      <c r="A9" s="5" t="inlineStr">
        <is>
          <t>SLB / ALB</t>
        </is>
      </c>
      <c r="B9" s="15">
        <f>'สมมติฐาน'!D13</f>
        <v/>
      </c>
      <c r="C9" s="10" t="n">
        <v>0</v>
      </c>
      <c r="D9" s="10" t="n">
        <v>1</v>
      </c>
      <c r="E9" s="10" t="n">
        <v>1</v>
      </c>
      <c r="F9" s="16">
        <f>B9*C9*12</f>
        <v/>
      </c>
      <c r="G9" s="16">
        <f>B9*D9*12</f>
        <v/>
      </c>
      <c r="H9" s="16">
        <f>B9*E9*12</f>
        <v/>
      </c>
    </row>
    <row r="10">
      <c r="A10" s="5" t="inlineStr">
        <is>
          <t>OSS + Snapshots + Backup</t>
        </is>
      </c>
      <c r="B10" s="15">
        <f>'สมมติฐาน'!D14</f>
        <v/>
      </c>
      <c r="C10" s="10" t="n">
        <v>1</v>
      </c>
      <c r="D10" s="10" t="n">
        <v>1</v>
      </c>
      <c r="E10" s="10" t="n">
        <v>1</v>
      </c>
      <c r="F10" s="16">
        <f>B10*C10*12</f>
        <v/>
      </c>
      <c r="G10" s="16">
        <f>B10*D10*12</f>
        <v/>
      </c>
      <c r="H10" s="16">
        <f>B10*E10*12</f>
        <v/>
      </c>
    </row>
    <row r="11">
      <c r="A11" s="5" t="inlineStr">
        <is>
          <t>Bandwidth / EIP</t>
        </is>
      </c>
      <c r="B11" s="15">
        <f>'สมมติฐาน'!D15</f>
        <v/>
      </c>
      <c r="C11" s="10" t="n">
        <v>1</v>
      </c>
      <c r="D11" s="10" t="n">
        <v>1</v>
      </c>
      <c r="E11" s="10" t="n">
        <v>1</v>
      </c>
      <c r="F11" s="16">
        <f>B11*C11*12</f>
        <v/>
      </c>
      <c r="G11" s="16">
        <f>B11*D11*12</f>
        <v/>
      </c>
      <c r="H11" s="16">
        <f>B11*E11*12</f>
        <v/>
      </c>
    </row>
    <row r="12">
      <c r="A12" s="5" t="inlineStr">
        <is>
          <t>DNS + Container Registry + อื่นๆ</t>
        </is>
      </c>
      <c r="B12" s="15">
        <f>'สมมติฐาน'!D16</f>
        <v/>
      </c>
      <c r="C12" s="10" t="n">
        <v>1</v>
      </c>
      <c r="D12" s="10" t="n">
        <v>1</v>
      </c>
      <c r="E12" s="10" t="n">
        <v>1</v>
      </c>
      <c r="F12" s="16">
        <f>B12*C12*12</f>
        <v/>
      </c>
      <c r="G12" s="16">
        <f>B12*D12*12</f>
        <v/>
      </c>
      <c r="H12" s="16">
        <f>B12*E12*12</f>
        <v/>
      </c>
    </row>
    <row r="13">
      <c r="A13" s="5" t="inlineStr">
        <is>
          <t>WAF (ตัวเลือก)</t>
        </is>
      </c>
      <c r="B13" s="15">
        <f>'สมมติฐาน'!D17</f>
        <v/>
      </c>
      <c r="C13" s="10" t="n">
        <v>0</v>
      </c>
      <c r="D13" s="10" t="n">
        <v>0</v>
      </c>
      <c r="E13" s="10" t="n">
        <v>1</v>
      </c>
      <c r="F13" s="16">
        <f>B13*C13*12</f>
        <v/>
      </c>
      <c r="G13" s="16">
        <f>B13*D13*12</f>
        <v/>
      </c>
      <c r="H13" s="16">
        <f>B13*E13*12</f>
        <v/>
      </c>
    </row>
    <row r="14">
      <c r="A14" s="17" t="inlineStr">
        <is>
          <t>Dedicated tenant (สแตคแยก)</t>
        </is>
      </c>
      <c r="B14" s="18">
        <f>'สมมติฐาน'!B20</f>
        <v/>
      </c>
      <c r="C14" s="19">
        <f>'สมมติฐาน'!B21</f>
        <v/>
      </c>
      <c r="D14" s="19">
        <f>'สมมติฐาน'!B22</f>
        <v/>
      </c>
      <c r="E14" s="19">
        <f>'สมมติฐาน'!B23</f>
        <v/>
      </c>
      <c r="F14" s="16">
        <f>B14*C14*12</f>
        <v/>
      </c>
      <c r="G14" s="16">
        <f>B14*D14*12</f>
        <v/>
      </c>
      <c r="H14" s="16">
        <f>B14*E14*12</f>
        <v/>
      </c>
    </row>
    <row r="15">
      <c r="A15" s="20" t="inlineStr">
        <is>
          <t>รวมทั้งหมด (USD/ปี)</t>
        </is>
      </c>
      <c r="B15" s="21" t="n"/>
      <c r="C15" s="21" t="n"/>
      <c r="D15" s="21" t="n"/>
      <c r="E15" s="21" t="n"/>
      <c r="F15" s="22">
        <f>SUM(F5:F14)</f>
        <v/>
      </c>
      <c r="G15" s="22">
        <f>SUM(G5:G14)</f>
        <v/>
      </c>
      <c r="H15" s="22">
        <f>SUM(H5:H14)</f>
        <v/>
      </c>
    </row>
    <row r="16">
      <c r="A16" s="17" t="inlineStr">
        <is>
          <t>รวมทั้งหมด (THB/ปี)</t>
        </is>
      </c>
      <c r="B16" s="5" t="n"/>
      <c r="C16" s="5" t="n"/>
      <c r="D16" s="5" t="n"/>
      <c r="E16" s="5" t="n"/>
      <c r="F16" s="23">
        <f>F15*'สมมติฐาน'!$B$4</f>
        <v/>
      </c>
      <c r="G16" s="23">
        <f>G15*'สมมติฐาน'!$B$4</f>
        <v/>
      </c>
      <c r="H16" s="23">
        <f>H15*'สมมติฐาน'!$B$4</f>
        <v/>
      </c>
    </row>
    <row r="17">
      <c r="A17" s="5" t="inlineStr">
        <is>
          <t>เฉลี่ยต่อเดือน (USD)</t>
        </is>
      </c>
      <c r="B17" s="5" t="n"/>
      <c r="C17" s="5" t="n"/>
      <c r="D17" s="5" t="n"/>
      <c r="E17" s="5" t="n"/>
      <c r="F17" s="16">
        <f>F15/12</f>
        <v/>
      </c>
      <c r="G17" s="16">
        <f>G15/12</f>
        <v/>
      </c>
      <c r="H17" s="16">
        <f>H15/12</f>
        <v/>
      </c>
    </row>
    <row r="19">
      <c r="A19" s="2" t="inlineStr">
        <is>
          <t>สรุป 3 ปี (Summary)</t>
        </is>
      </c>
    </row>
    <row r="20">
      <c r="A20" s="5" t="inlineStr">
        <is>
          <t>รวมค่าโครงสร้างพื้นฐาน 3 ปี (USD)</t>
        </is>
      </c>
      <c r="B20" s="3" t="n"/>
      <c r="C20" s="3" t="n"/>
      <c r="D20" s="4" t="n"/>
      <c r="E20" s="24">
        <f>SUM(F15:H15)</f>
        <v/>
      </c>
    </row>
    <row r="21">
      <c r="A21" s="5" t="inlineStr">
        <is>
          <t>รวมค่าโครงสร้างพื้นฐาน 3 ปี (THB)</t>
        </is>
      </c>
      <c r="B21" s="3" t="n"/>
      <c r="C21" s="3" t="n"/>
      <c r="D21" s="4" t="n"/>
      <c r="E21" s="23">
        <f>E20*'สมมติฐาน'!$B$4</f>
        <v/>
      </c>
    </row>
    <row r="22">
      <c r="A22" s="5" t="inlineStr">
        <is>
          <t>เฉลี่ยต่อเดือน ตลอด 3 ปี (USD)</t>
        </is>
      </c>
      <c r="B22" s="3" t="n"/>
      <c r="C22" s="3" t="n"/>
      <c r="D22" s="4" t="n"/>
      <c r="E22" s="24">
        <f>E20/36</f>
        <v/>
      </c>
    </row>
    <row r="23">
      <c r="A23" s="5" t="inlineStr">
        <is>
          <t>ทางเลือกประหยัดสุด: คง Tier 0 ตลอด 3 ปี (USD)</t>
        </is>
      </c>
      <c r="B23" s="3" t="n"/>
      <c r="C23" s="3" t="n"/>
      <c r="D23" s="4" t="n"/>
      <c r="E23" s="24">
        <f>F17*36</f>
        <v/>
      </c>
    </row>
    <row r="24">
      <c r="A24" s="5" t="inlineStr">
        <is>
          <t>ทางเลือกประหยัดสุด: คง Tier 0 ตลอด 3 ปี (THB)</t>
        </is>
      </c>
      <c r="B24" s="3" t="n"/>
      <c r="C24" s="3" t="n"/>
      <c r="D24" s="4" t="n"/>
      <c r="E24" s="23">
        <f>E23*'สมมติฐาน'!$B$4</f>
        <v/>
      </c>
    </row>
    <row r="25">
      <c r="A25" s="5" t="inlineStr">
        <is>
          <t>ประมาณการเทียบ AWS lean 3 ปี (USD, อ้างอิง)</t>
        </is>
      </c>
      <c r="B25" s="3" t="n"/>
      <c r="C25" s="3" t="n"/>
      <c r="D25" s="4" t="n"/>
      <c r="E25" s="9" t="n">
        <v>40000</v>
      </c>
    </row>
    <row r="26">
      <c r="A26" s="5" t="inlineStr">
        <is>
          <t>ประหยัดเทียบ AWS (โดยประมาณ)</t>
        </is>
      </c>
      <c r="B26" s="3" t="n"/>
      <c r="C26" s="3" t="n"/>
      <c r="D26" s="4" t="n"/>
      <c r="E26" s="25">
        <f>1-E20/E25</f>
        <v/>
      </c>
    </row>
  </sheetData>
  <mergeCells count="10">
    <mergeCell ref="A23:D23"/>
    <mergeCell ref="A22:D22"/>
    <mergeCell ref="A2:H2"/>
    <mergeCell ref="A20:D20"/>
    <mergeCell ref="A21:D21"/>
    <mergeCell ref="A26:D26"/>
    <mergeCell ref="A19:H19"/>
    <mergeCell ref="A25:D25"/>
    <mergeCell ref="A24:D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6" t="inlineStr">
        <is>
          <t>หมายเหตุและคำอธิบาย (Notes)</t>
        </is>
      </c>
    </row>
    <row r="2">
      <c r="A2" s="27" t="inlineStr"/>
    </row>
    <row r="3">
      <c r="A3" s="27" t="inlineStr">
        <is>
          <t>วิธีใช้: แก้เฉพาะเซลล์ตัวอักษรสีน้ำเงิน (และพื้นเหลือง) ในชีต 'สมมติฐาน' แล้วตัวเลขทั้งหมดจะคำนวณใหม่อัตโนมัติ</t>
        </is>
      </c>
    </row>
    <row r="4">
      <c r="A4" s="27" t="inlineStr"/>
    </row>
    <row r="5">
      <c r="A5" s="28" t="inlineStr">
        <is>
          <t>รหัสสี:</t>
        </is>
      </c>
    </row>
    <row r="6">
      <c r="A6" s="27" t="inlineStr">
        <is>
          <t xml:space="preserve">   • สีน้ำเงิน = ค่าที่แก้ไขได้ (Input)</t>
        </is>
      </c>
    </row>
    <row r="7">
      <c r="A7" s="27" t="inlineStr">
        <is>
          <t xml:space="preserve">   • สีดำ = สูตรคำนวณ</t>
        </is>
      </c>
    </row>
    <row r="8">
      <c r="A8" s="27" t="inlineStr">
        <is>
          <t xml:space="preserve">   • สีเขียว = ลิงก์ดึงค่าข้ามชีต</t>
        </is>
      </c>
    </row>
    <row r="9">
      <c r="A9" s="27" t="inlineStr">
        <is>
          <t xml:space="preserve">   • พื้นเหลือง = ตัวแปรหลักที่ควรปรับก่อน (เรต/ส่วนลด)</t>
        </is>
      </c>
    </row>
    <row r="10">
      <c r="A10" s="27" t="inlineStr"/>
    </row>
    <row r="11">
      <c r="A11" s="28" t="inlineStr">
        <is>
          <t>แนวคิดประหยัด (เริ่มลีน แล้วค่อยขยาย):</t>
        </is>
      </c>
    </row>
    <row r="12">
      <c r="A12" s="27" t="inlineStr">
        <is>
          <t xml:space="preserve">   • ปีที่ 1 (Tier 0): ใช้ ECS เครื่องเดียวรัน api + web + Postgres ผ่าน docker-compose, สำรองข้อมูลขึ้น OSS ทุกวัน — ถูกที่สุด แต่ไม่มี HA และต้องดูแล Postgres เอง</t>
        </is>
      </c>
    </row>
    <row r="13">
      <c r="A13" s="27" t="inlineStr">
        <is>
          <t xml:space="preserve">   • ปีที่ 2 (Tier 1): แยกฐานข้อมูลออกเป็น ApsaraDB RDS (HA) เมื่อรายได้/ความเสี่ยงเริ่มสูงขึ้น</t>
        </is>
      </c>
    </row>
    <row r="14">
      <c r="A14" s="27" t="inlineStr">
        <is>
          <t xml:space="preserve">   • ปีที่ 3 (Tier 2): เพิ่ม read replica/HA และสแตคแยก (dedicated) สำหรับลูกค้ารายใหญ่</t>
        </is>
      </c>
    </row>
    <row r="15">
      <c r="A15" s="27" t="inlineStr"/>
    </row>
    <row r="16">
      <c r="A16" s="28" t="inlineStr">
        <is>
          <t>ตัวช่วยลดค่าใช้จ่ายของ Alibaba Cloud:</t>
        </is>
      </c>
    </row>
    <row r="17">
      <c r="A17" s="27" t="inlineStr">
        <is>
          <t xml:space="preserve">   • ซื้อแบบ Subscription จ่ายล่วงหน้า 3 ปี (ลดได้มากสุด) สำหรับ ECS + RDS</t>
        </is>
      </c>
    </row>
    <row r="18">
      <c r="A18" s="27" t="inlineStr">
        <is>
          <t xml:space="preserve">   • ใช้อินสแตนซ์แบบ burstable (e/t-series) สำหรับโหลดทั่วไป</t>
        </is>
      </c>
    </row>
    <row r="19">
      <c r="A19" s="27" t="inlineStr">
        <is>
          <t xml:space="preserve">   • จัดการ Postgres เองบน ECS ในปีแรก แล้วค่อยย้ายไป RDS</t>
        </is>
      </c>
    </row>
    <row r="20">
      <c r="A20" s="27" t="inlineStr">
        <is>
          <t xml:space="preserve">   • ตั้ง OSS lifecycle ย้ายไฟล์สำรองเก่าไป Archive</t>
        </is>
      </c>
    </row>
    <row r="21">
      <c r="A21" s="27" t="inlineStr">
        <is>
          <t xml:space="preserve">   • ใช้เครดิตผู้ใช้ใหม่/ฟรีเทียร์ช่วยปีแรก</t>
        </is>
      </c>
    </row>
    <row r="22">
      <c r="A22" s="27" t="inlineStr"/>
    </row>
    <row r="23">
      <c r="A23" s="27" t="inlineStr">
        <is>
          <t>ข้อควรระวัง: Tier 0 = ไม่มี HA (เครื่องเดียว = จุดล้มเดียว) และต้องสำรอง/กู้คืน Postgres เอง — ต้อง 'ทดสอบกู้คืน' จริง อย่างน้อยเดือนละครั้ง</t>
        </is>
      </c>
    </row>
    <row r="24">
      <c r="A24" s="27" t="inlineStr">
        <is>
          <t>หมายเหตุ PDPA: ภูมิภาค Bangkok ของ Alibaba ช่วยให้ข้อมูลอยู่ในประเทศ ฟรี (ดีต่อ PDPA) — แต่ PDPA ยังเป็นกฎหมายไทยที่ต้องปฏิบัติแม้ยังไม่ทำ SOC 2/ISO</t>
        </is>
      </c>
    </row>
    <row r="25">
      <c r="A25" s="27" t="inlineStr"/>
    </row>
    <row r="26">
      <c r="A26" s="27" t="inlineStr">
        <is>
          <t>ทั้งหมดเป็นค่าประมาณการเพื่อวางแผน — ควรตรวจสอบกับ Alibaba Cloud Pricing Calculator ของภูมิภาคจริงก่อนตัดสินใจ ตัวเลขยังไม่รวมค่าแรง/ค่าพัฒนา (build effort)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2026-06-23T03:39:57Z</dcterms:created>
  <dcterms:modified xmlns:dcterms="http://purl.org/dc/terms/" xmlns:xsi="http://www.w3.org/2001/XMLSchema-instance" xsi:type="dcterms:W3CDTF">2026-06-23T03:39:57Z</dcterms:modified>
</cp:coreProperties>
</file>